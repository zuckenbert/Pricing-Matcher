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MISSAS" sheetId="1" state="visible" r:id="rId1"/>
    <sheet name="CUSTOS" sheetId="2" state="visible" r:id="rId2"/>
    <sheet name="BREAK_EVEN" sheetId="3" state="visible" r:id="rId3"/>
    <sheet name="SIMULADOR" sheetId="4" state="visible" r:id="rId4"/>
    <sheet name="CONFIANC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$ #,##0.00"/>
    <numFmt numFmtId="165" formatCode="R$ #,##0.00"/>
    <numFmt numFmtId="166" formatCode="$ #,##0.000000"/>
    <numFmt numFmtId="167" formatCode="R$ #,##0.000000"/>
    <numFmt numFmtId="168" formatCode="0.0%"/>
    <numFmt numFmtId="169" formatCode="R$ #,##0.0000"/>
    <numFmt numFmtId="170" formatCode="#,##0.0"/>
  </numFmts>
  <fonts count="11">
    <font>
      <name val="Calibri"/>
      <family val="2"/>
      <color theme="1"/>
      <sz val="11"/>
      <scheme val="minor"/>
    </font>
    <font>
      <b val="1"/>
      <sz val="16"/>
    </font>
    <font>
      <i val="1"/>
      <sz val="10"/>
    </font>
    <font>
      <b val="1"/>
      <color rgb="00FFFFFF"/>
      <sz val="12"/>
    </font>
    <font>
      <b val="1"/>
      <color rgb="00FFFFFF"/>
    </font>
    <font>
      <b val="1"/>
    </font>
    <font>
      <b val="1"/>
      <color rgb="00666666"/>
    </font>
    <font>
      <color rgb="00666666"/>
      <sz val="9"/>
    </font>
    <font>
      <i val="1"/>
    </font>
    <font>
      <i val="1"/>
      <sz val="9"/>
    </font>
    <font>
      <b val="1"/>
      <sz val="14"/>
    </font>
  </fonts>
  <fills count="6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F2CC"/>
        <bgColor rgb="00FFF2CC"/>
      </patternFill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3" borderId="1" pivotButton="0" quotePrefix="0" xfId="0"/>
    <xf numFmtId="0" fontId="4" fillId="4" borderId="0" pivotButton="0" quotePrefix="0" xfId="0"/>
    <xf numFmtId="164" fontId="0" fillId="3" borderId="1" pivotButton="0" quotePrefix="0" xfId="0"/>
    <xf numFmtId="165" fontId="0" fillId="5" borderId="1" pivotButton="0" quotePrefix="0" xfId="0"/>
    <xf numFmtId="0" fontId="5" fillId="0" borderId="0" pivotButton="0" quotePrefix="0" xfId="0"/>
    <xf numFmtId="164" fontId="5" fillId="5" borderId="1" pivotButton="0" quotePrefix="0" xfId="0"/>
    <xf numFmtId="165" fontId="5" fillId="5" borderId="1" pivotButton="0" quotePrefix="0" xfId="0"/>
    <xf numFmtId="166" fontId="0" fillId="3" borderId="1" pivotButton="0" quotePrefix="0" xfId="0"/>
    <xf numFmtId="167" fontId="0" fillId="5" borderId="1" pivotButton="0" quotePrefix="0" xfId="0"/>
    <xf numFmtId="3" fontId="0" fillId="3" borderId="1" pivotButton="0" quotePrefix="0" xfId="0"/>
    <xf numFmtId="165" fontId="0" fillId="3" borderId="1" pivotButton="0" quotePrefix="0" xfId="0"/>
    <xf numFmtId="166" fontId="0" fillId="5" borderId="1" pivotButton="0" quotePrefix="0" xfId="0"/>
    <xf numFmtId="0" fontId="6" fillId="0" borderId="0" pivotButton="0" quotePrefix="0" xfId="0"/>
    <xf numFmtId="0" fontId="7" fillId="0" borderId="0" pivotButton="0" quotePrefix="0" xfId="0"/>
    <xf numFmtId="164" fontId="0" fillId="5" borderId="0" pivotButton="0" quotePrefix="0" xfId="0"/>
    <xf numFmtId="165" fontId="0" fillId="5" borderId="0" pivotButton="0" quotePrefix="0" xfId="0"/>
    <xf numFmtId="168" fontId="0" fillId="5" borderId="0" pivotButton="0" quotePrefix="0" xfId="0"/>
    <xf numFmtId="164" fontId="5" fillId="5" borderId="0" pivotButton="0" quotePrefix="0" xfId="0"/>
    <xf numFmtId="165" fontId="5" fillId="5" borderId="0" pivotButton="0" quotePrefix="0" xfId="0"/>
    <xf numFmtId="0" fontId="0" fillId="5" borderId="0" pivotButton="0" quotePrefix="0" xfId="0"/>
    <xf numFmtId="166" fontId="0" fillId="5" borderId="0" pivotButton="0" quotePrefix="0" xfId="0"/>
    <xf numFmtId="166" fontId="5" fillId="5" borderId="0" pivotButton="0" quotePrefix="0" xfId="0"/>
    <xf numFmtId="167" fontId="5" fillId="5" borderId="0" pivotButton="0" quotePrefix="0" xfId="0"/>
    <xf numFmtId="0" fontId="8" fillId="0" borderId="0" pivotButton="0" quotePrefix="0" xfId="0"/>
    <xf numFmtId="167" fontId="0" fillId="5" borderId="0" pivotButton="0" quotePrefix="0" xfId="0"/>
    <xf numFmtId="3" fontId="0" fillId="5" borderId="0" pivotButton="0" quotePrefix="0" xfId="0"/>
    <xf numFmtId="169" fontId="0" fillId="5" borderId="1" pivotButton="0" quotePrefix="0" xfId="0"/>
    <xf numFmtId="3" fontId="0" fillId="5" borderId="1" pivotButton="0" quotePrefix="0" xfId="0"/>
    <xf numFmtId="170" fontId="0" fillId="5" borderId="1" pivotButton="0" quotePrefix="0" xfId="0"/>
    <xf numFmtId="0" fontId="0" fillId="5" borderId="1" pivotButton="0" quotePrefix="0" xfId="0"/>
    <xf numFmtId="0" fontId="9" fillId="0" borderId="0" pivotButton="0" quotePrefix="0" xfId="0"/>
    <xf numFmtId="0" fontId="10" fillId="0" borderId="0" pivotButton="0" quotePrefix="0" xfId="0"/>
    <xf numFmtId="165" fontId="10" fillId="5" borderId="0" pivotButton="0" quotePrefix="0" xfId="0"/>
    <xf numFmtId="168" fontId="10" fillId="5" borderId="0" pivotButton="0" quotePrefix="0" xfId="0"/>
    <xf numFmtId="0" fontId="10" fillId="5" borderId="0" pivotButton="0" quotePrefix="0" xfId="0"/>
    <xf numFmtId="0" fontId="4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15" customWidth="1" min="3" max="3"/>
    <col width="45" customWidth="1" min="4" max="4"/>
  </cols>
  <sheetData>
    <row r="1">
      <c r="A1" s="1" t="inlineStr">
        <is>
          <t>ANÁLISE DE PRICING - FLOWKER</t>
        </is>
      </c>
    </row>
    <row r="2">
      <c r="A2" s="2" t="inlineStr">
        <is>
          <t>Células AMARELAS = Inputs editáveis | Células VERDES = Calculadas</t>
        </is>
      </c>
    </row>
    <row r="4">
      <c r="A4" s="3" t="inlineStr">
        <is>
          <t>TAXA DE CÂMBIO</t>
        </is>
      </c>
    </row>
    <row r="5">
      <c r="A5" t="inlineStr">
        <is>
          <t>USD para BRL</t>
        </is>
      </c>
      <c r="B5" s="4" t="n">
        <v>5</v>
      </c>
      <c r="C5" t="inlineStr">
        <is>
          <t>BRL/USD</t>
        </is>
      </c>
      <c r="D5" t="inlineStr">
        <is>
          <t>← Ajuste conforme câmbio atual</t>
        </is>
      </c>
    </row>
    <row r="7">
      <c r="A7" s="3" t="inlineStr">
        <is>
          <t>CUSTOS DE INFRAESTRUTURA (USD/mês) - STANDALONE</t>
        </is>
      </c>
    </row>
    <row r="8">
      <c r="A8" s="5" t="inlineStr">
        <is>
          <t>Componente</t>
        </is>
      </c>
      <c r="B8" s="5" t="inlineStr">
        <is>
          <t>USD/mês</t>
        </is>
      </c>
      <c r="C8" s="5" t="inlineStr">
        <is>
          <t>BRL/mês</t>
        </is>
      </c>
      <c r="D8" s="5" t="inlineStr">
        <is>
          <t>Configuração</t>
        </is>
      </c>
    </row>
    <row r="9">
      <c r="A9" t="inlineStr">
        <is>
          <t>PostgreSQL (RDS db.r6g.large)</t>
        </is>
      </c>
      <c r="B9" s="6" t="n">
        <v>108</v>
      </c>
      <c r="C9" s="7">
        <f>B9*B5</f>
        <v/>
      </c>
      <c r="D9" t="inlineStr">
        <is>
          <t>2 vCPU, 16GB RAM</t>
        </is>
      </c>
    </row>
    <row r="10">
      <c r="A10" t="inlineStr">
        <is>
          <t>MongoDB (Atlas M30)</t>
        </is>
      </c>
      <c r="B10" s="6" t="n">
        <v>389</v>
      </c>
      <c r="C10" s="7">
        <f>B10*B5</f>
        <v/>
      </c>
      <c r="D10" t="inlineStr">
        <is>
          <t>2 vCPU, 8GB RAM</t>
        </is>
      </c>
    </row>
    <row r="11">
      <c r="A11" t="inlineStr">
        <is>
          <t>Valkey (ElastiCache cache.r6g.large)</t>
        </is>
      </c>
      <c r="B11" s="6" t="n">
        <v>94</v>
      </c>
      <c r="C11" s="7">
        <f>B11*B5</f>
        <v/>
      </c>
      <c r="D11" t="inlineStr">
        <is>
          <t>2 vCPU, 13GB RAM</t>
        </is>
      </c>
    </row>
    <row r="12">
      <c r="A12" t="inlineStr">
        <is>
          <t>Temporal Cloud (base)</t>
        </is>
      </c>
      <c r="B12" s="6" t="n">
        <v>25</v>
      </c>
      <c r="C12" s="7">
        <f>B12*B5</f>
        <v/>
      </c>
      <c r="D12" t="inlineStr">
        <is>
          <t>Orquestração de workflows</t>
        </is>
      </c>
    </row>
    <row r="13">
      <c r="A13" t="inlineStr">
        <is>
          <t>RabbitMQ (Amazon MQ mq.m5.large)</t>
        </is>
      </c>
      <c r="B13" s="6" t="n">
        <v>180</v>
      </c>
      <c r="C13" s="7">
        <f>B13*B5</f>
        <v/>
      </c>
      <c r="D13" t="inlineStr">
        <is>
          <t>2 vCPU, 8GB RAM</t>
        </is>
      </c>
    </row>
    <row r="14">
      <c r="A14" t="inlineStr">
        <is>
          <t>Compute (EKS 2x c6g.large)</t>
        </is>
      </c>
      <c r="B14" s="6" t="n">
        <v>122</v>
      </c>
      <c r="C14" s="7">
        <f>B14*B5</f>
        <v/>
      </c>
      <c r="D14" t="inlineStr">
        <is>
          <t>4 vCPU total, 8GB RAM</t>
        </is>
      </c>
    </row>
    <row r="15">
      <c r="A15" s="8" t="inlineStr">
        <is>
          <t>TOTAL CUSTO FIXO MENSAL</t>
        </is>
      </c>
      <c r="B15" s="9">
        <f>SUM(B9:B14)</f>
        <v/>
      </c>
      <c r="C15" s="10">
        <f>B15*B5</f>
        <v/>
      </c>
    </row>
    <row r="17">
      <c r="A17" s="3" t="inlineStr">
        <is>
          <t>OPERAÇÕES POR WORKFLOW (baseado em código)</t>
        </is>
      </c>
    </row>
    <row r="18">
      <c r="A18" s="5" t="inlineStr">
        <is>
          <t>Operação</t>
        </is>
      </c>
      <c r="B18" s="5" t="inlineStr">
        <is>
          <t>Qtd/WF</t>
        </is>
      </c>
      <c r="C18" s="5" t="inlineStr">
        <is>
          <t>Unidade</t>
        </is>
      </c>
      <c r="D18" s="5" t="inlineStr">
        <is>
          <t>Fonte (arquivo)</t>
        </is>
      </c>
    </row>
    <row r="19">
      <c r="A19" t="inlineStr">
        <is>
          <t>Temporal Actions</t>
        </is>
      </c>
      <c r="B19" s="4" t="n">
        <v>9</v>
      </c>
      <c r="C19" t="inlineStr">
        <is>
          <t>actions</t>
        </is>
      </c>
      <c r="D19" t="inlineStr">
        <is>
          <t>validation_workflow.go</t>
        </is>
      </c>
    </row>
    <row r="20">
      <c r="A20" t="inlineStr">
        <is>
          <t>MongoDB Operations</t>
        </is>
      </c>
      <c r="B20" s="4" t="n">
        <v>6</v>
      </c>
      <c r="C20" t="inlineStr">
        <is>
          <t>ops</t>
        </is>
      </c>
      <c r="D20" t="inlineStr">
        <is>
          <t>activities.go (audit)</t>
        </is>
      </c>
    </row>
    <row r="21">
      <c r="A21" t="inlineStr">
        <is>
          <t>Valkey Operations</t>
        </is>
      </c>
      <c r="B21" s="4" t="n">
        <v>12</v>
      </c>
      <c r="C21" t="inlineStr">
        <is>
          <t>ops</t>
        </is>
      </c>
      <c r="D21" t="inlineStr">
        <is>
          <t>activities.go (locks/cache)</t>
        </is>
      </c>
    </row>
    <row r="23">
      <c r="A23" s="3" t="inlineStr">
        <is>
          <t>CUSTOS POR OPERAÇÃO (USD)</t>
        </is>
      </c>
    </row>
    <row r="24">
      <c r="A24" s="5" t="inlineStr">
        <is>
          <t>Operação</t>
        </is>
      </c>
      <c r="B24" s="5" t="inlineStr">
        <is>
          <t>USD/op</t>
        </is>
      </c>
      <c r="C24" s="5" t="inlineStr">
        <is>
          <t>BRL/op</t>
        </is>
      </c>
      <c r="D24" s="5" t="inlineStr">
        <is>
          <t>Fonte</t>
        </is>
      </c>
    </row>
    <row r="25">
      <c r="A25" t="inlineStr">
        <is>
          <t>Temporal (por action)</t>
        </is>
      </c>
      <c r="B25" s="11" t="n">
        <v>2.5e-05</v>
      </c>
      <c r="C25" s="12">
        <f>B25*B5</f>
        <v/>
      </c>
      <c r="D25" t="inlineStr">
        <is>
          <t>Temporal Cloud Pricing</t>
        </is>
      </c>
    </row>
    <row r="26">
      <c r="A26" t="inlineStr">
        <is>
          <t>MongoDB (por operação)</t>
        </is>
      </c>
      <c r="B26" s="11" t="n">
        <v>1e-06</v>
      </c>
      <c r="C26" s="12">
        <f>B26*B5</f>
        <v/>
      </c>
      <c r="D26" t="inlineStr">
        <is>
          <t>Estimativa Atlas</t>
        </is>
      </c>
    </row>
    <row r="27">
      <c r="A27" t="inlineStr">
        <is>
          <t>Valkey (por operação)</t>
        </is>
      </c>
      <c r="B27" s="11" t="n">
        <v>1e-07</v>
      </c>
      <c r="C27" s="12">
        <f>B27*B5</f>
        <v/>
      </c>
      <c r="D27" t="inlineStr">
        <is>
          <t>Estimativa ElastiCache</t>
        </is>
      </c>
    </row>
    <row r="29">
      <c r="A29" s="3" t="inlineStr">
        <is>
          <t>VOLUME DE WORKFLOWS</t>
        </is>
      </c>
    </row>
    <row r="30">
      <c r="A30" t="inlineStr">
        <is>
          <t>Workflows/mês (cliente típico Growth)</t>
        </is>
      </c>
      <c r="B30" s="13" t="n">
        <v>25000</v>
      </c>
      <c r="D30" t="inlineStr">
        <is>
          <t>← Volume médio esperado por cliente</t>
        </is>
      </c>
    </row>
    <row r="32">
      <c r="A32" s="3" t="inlineStr">
        <is>
          <t>PRICING TIERS</t>
        </is>
      </c>
    </row>
    <row r="33">
      <c r="A33" s="5" t="inlineStr">
        <is>
          <t>Tier</t>
        </is>
      </c>
      <c r="B33" s="5" t="inlineStr">
        <is>
          <t>Base (BRL)</t>
        </is>
      </c>
      <c r="C33" s="5" t="inlineStr">
        <is>
          <t>Por WF (BRL)</t>
        </is>
      </c>
      <c r="D33" s="5" t="inlineStr">
        <is>
          <t>Limite WF/mês</t>
        </is>
      </c>
    </row>
    <row r="34">
      <c r="A34" t="inlineStr">
        <is>
          <t>Starter</t>
        </is>
      </c>
      <c r="B34" s="14" t="n">
        <v>0</v>
      </c>
      <c r="C34" s="14" t="n">
        <v>0</v>
      </c>
      <c r="D34" s="13" t="n">
        <v>1000</v>
      </c>
    </row>
    <row r="35">
      <c r="A35" t="inlineStr">
        <is>
          <t>Growth</t>
        </is>
      </c>
      <c r="B35" s="14" t="n">
        <v>2990</v>
      </c>
      <c r="C35" s="14" t="n">
        <v>0.08</v>
      </c>
      <c r="D35" s="13" t="n">
        <v>25000</v>
      </c>
    </row>
    <row r="36">
      <c r="A36" t="inlineStr">
        <is>
          <t>Scale</t>
        </is>
      </c>
      <c r="B36" s="14" t="n">
        <v>9990</v>
      </c>
      <c r="C36" s="14" t="n">
        <v>0.04</v>
      </c>
      <c r="D36" s="13" t="n">
        <v>200000</v>
      </c>
    </row>
    <row r="37">
      <c r="A37" t="inlineStr">
        <is>
          <t>Enterprise</t>
        </is>
      </c>
      <c r="B37" s="14" t="n">
        <v>19990</v>
      </c>
      <c r="C37" s="14" t="n">
        <v>0.02</v>
      </c>
      <c r="D37" s="13" t="n">
        <v>1000000</v>
      </c>
    </row>
    <row r="39">
      <c r="A39" s="3" t="inlineStr">
        <is>
          <t>CÁLCULOS DERIVADOS (não editar)</t>
        </is>
      </c>
    </row>
    <row r="40">
      <c r="A40" t="inlineStr">
        <is>
          <t>Custo Variável/WF (USD)</t>
        </is>
      </c>
      <c r="B40" s="15">
        <f>(B19*B25)+(B20*B26)+(B21*B27)</f>
        <v/>
      </c>
    </row>
    <row r="41">
      <c r="A41" t="inlineStr">
        <is>
          <t>Custo Variável/WF (BRL)</t>
        </is>
      </c>
      <c r="B41" s="12">
        <f>B40*B5</f>
        <v/>
      </c>
    </row>
    <row r="43">
      <c r="A43" s="16" t="inlineStr">
        <is>
          <t>REFERÊNCIAS RÁPIDAS</t>
        </is>
      </c>
    </row>
    <row r="44">
      <c r="A44" s="17" t="inlineStr">
        <is>
          <t>Custo Fixo Mensal (BRL): =C15</t>
        </is>
      </c>
    </row>
    <row r="45">
      <c r="A45" s="17" t="inlineStr">
        <is>
          <t>Custo Variável/WF (BRL): =B41</t>
        </is>
      </c>
    </row>
    <row r="46">
      <c r="A46" s="17" t="inlineStr">
        <is>
          <t>Volume típico: =B30</t>
        </is>
      </c>
    </row>
  </sheetData>
  <mergeCells count="8">
    <mergeCell ref="A1:D1"/>
    <mergeCell ref="A23:D23"/>
    <mergeCell ref="A17:D17"/>
    <mergeCell ref="A4:D4"/>
    <mergeCell ref="A39:D39"/>
    <mergeCell ref="A29:D29"/>
    <mergeCell ref="A7:D7"/>
    <mergeCell ref="A32:D3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5" customWidth="1" min="4" max="4"/>
  </cols>
  <sheetData>
    <row r="1">
      <c r="A1" s="1" t="inlineStr">
        <is>
          <t>DETALHAMENTO DE CUSTOS</t>
        </is>
      </c>
    </row>
    <row r="3">
      <c r="A3" s="3" t="inlineStr">
        <is>
          <t>CUSTOS FIXOS MENSAIS (Infraestrutura Standalone)</t>
        </is>
      </c>
    </row>
    <row r="4">
      <c r="A4" s="5" t="inlineStr">
        <is>
          <t>Componente</t>
        </is>
      </c>
      <c r="B4" s="5" t="inlineStr">
        <is>
          <t>USD/mês</t>
        </is>
      </c>
      <c r="C4" s="5" t="inlineStr">
        <is>
          <t>BRL/mês</t>
        </is>
      </c>
      <c r="D4" s="5" t="inlineStr">
        <is>
          <t>% Total</t>
        </is>
      </c>
    </row>
    <row r="5">
      <c r="A5" t="inlineStr">
        <is>
          <t>PostgreSQL</t>
        </is>
      </c>
      <c r="B5" s="18">
        <f>PREMISSAS!B9</f>
        <v/>
      </c>
      <c r="C5" s="19">
        <f>B5*PREMISSAS!B5</f>
        <v/>
      </c>
      <c r="D5" s="20">
        <f>B5/PREMISSAS!B15</f>
        <v/>
      </c>
    </row>
    <row r="6">
      <c r="A6" t="inlineStr">
        <is>
          <t>MongoDB</t>
        </is>
      </c>
      <c r="B6" s="18">
        <f>PREMISSAS!B10</f>
        <v/>
      </c>
      <c r="C6" s="19">
        <f>B6*PREMISSAS!B5</f>
        <v/>
      </c>
      <c r="D6" s="20">
        <f>B6/PREMISSAS!B15</f>
        <v/>
      </c>
    </row>
    <row r="7">
      <c r="A7" t="inlineStr">
        <is>
          <t>Valkey</t>
        </is>
      </c>
      <c r="B7" s="18">
        <f>PREMISSAS!B11</f>
        <v/>
      </c>
      <c r="C7" s="19">
        <f>B7*PREMISSAS!B5</f>
        <v/>
      </c>
      <c r="D7" s="20">
        <f>B7/PREMISSAS!B15</f>
        <v/>
      </c>
    </row>
    <row r="8">
      <c r="A8" t="inlineStr">
        <is>
          <t>Temporal</t>
        </is>
      </c>
      <c r="B8" s="18">
        <f>PREMISSAS!B12</f>
        <v/>
      </c>
      <c r="C8" s="19">
        <f>B8*PREMISSAS!B5</f>
        <v/>
      </c>
      <c r="D8" s="20">
        <f>B8/PREMISSAS!B15</f>
        <v/>
      </c>
    </row>
    <row r="9">
      <c r="A9" t="inlineStr">
        <is>
          <t>RabbitMQ</t>
        </is>
      </c>
      <c r="B9" s="18">
        <f>PREMISSAS!B13</f>
        <v/>
      </c>
      <c r="C9" s="19">
        <f>B9*PREMISSAS!B5</f>
        <v/>
      </c>
      <c r="D9" s="20">
        <f>B9/PREMISSAS!B15</f>
        <v/>
      </c>
    </row>
    <row r="10">
      <c r="A10" t="inlineStr">
        <is>
          <t>Compute</t>
        </is>
      </c>
      <c r="B10" s="18">
        <f>PREMISSAS!B14</f>
        <v/>
      </c>
      <c r="C10" s="19">
        <f>B10*PREMISSAS!B5</f>
        <v/>
      </c>
      <c r="D10" s="20">
        <f>B10/PREMISSAS!B15</f>
        <v/>
      </c>
    </row>
    <row r="11">
      <c r="A11" s="8" t="inlineStr">
        <is>
          <t>TOTAL</t>
        </is>
      </c>
      <c r="B11" s="21">
        <f>SUM(B5:B10)</f>
        <v/>
      </c>
      <c r="C11" s="22">
        <f>SUM(C5:C10)</f>
        <v/>
      </c>
      <c r="D11" s="23">
        <f>100%</f>
        <v/>
      </c>
    </row>
    <row r="13">
      <c r="A13" s="3" t="inlineStr">
        <is>
          <t>CUSTOS VARIÁVEIS (por Workflow)</t>
        </is>
      </c>
    </row>
    <row r="14">
      <c r="A14" s="5" t="inlineStr">
        <is>
          <t>Componente</t>
        </is>
      </c>
      <c r="B14" s="5" t="inlineStr">
        <is>
          <t>Ops/WF</t>
        </is>
      </c>
      <c r="C14" s="5" t="inlineStr">
        <is>
          <t>Custo/Op (USD)</t>
        </is>
      </c>
      <c r="D14" s="5" t="inlineStr">
        <is>
          <t>Custo/WF (USD)</t>
        </is>
      </c>
    </row>
    <row r="15">
      <c r="A15" t="inlineStr">
        <is>
          <t>Temporal Actions</t>
        </is>
      </c>
      <c r="B15" s="23">
        <f>PREMISSAS!B19</f>
        <v/>
      </c>
      <c r="C15" s="24">
        <f>PREMISSAS!B25</f>
        <v/>
      </c>
      <c r="D15" s="24">
        <f>B15*C15</f>
        <v/>
      </c>
    </row>
    <row r="16">
      <c r="A16" t="inlineStr">
        <is>
          <t>MongoDB Operations</t>
        </is>
      </c>
      <c r="B16" s="23">
        <f>PREMISSAS!B20</f>
        <v/>
      </c>
      <c r="C16" s="24">
        <f>PREMISSAS!B26</f>
        <v/>
      </c>
      <c r="D16" s="24">
        <f>B16*C16</f>
        <v/>
      </c>
    </row>
    <row r="17">
      <c r="A17" t="inlineStr">
        <is>
          <t>Valkey Operations</t>
        </is>
      </c>
      <c r="B17" s="23">
        <f>PREMISSAS!B21</f>
        <v/>
      </c>
      <c r="C17" s="24">
        <f>PREMISSAS!B27</f>
        <v/>
      </c>
      <c r="D17" s="24">
        <f>B17*C17</f>
        <v/>
      </c>
    </row>
    <row r="18">
      <c r="A18" s="8" t="inlineStr">
        <is>
          <t>TOTAL CUSTO/WF (USD)</t>
        </is>
      </c>
      <c r="D18" s="25">
        <f>SUM(D15:D17)</f>
        <v/>
      </c>
    </row>
    <row r="19">
      <c r="A19" s="8" t="inlineStr">
        <is>
          <t>TOTAL CUSTO/WF (BRL)</t>
        </is>
      </c>
      <c r="D19" s="26">
        <f>D18*PREMISSAS!B5</f>
        <v/>
      </c>
    </row>
  </sheetData>
  <mergeCells count="2">
    <mergeCell ref="A13:D13"/>
    <mergeCell ref="A3:D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5" customWidth="1" min="5" max="5"/>
  </cols>
  <sheetData>
    <row r="1">
      <c r="A1" s="1" t="inlineStr">
        <is>
          <t>ANÁLISE DE BREAK-EVEN (Standalone)</t>
        </is>
      </c>
    </row>
    <row r="2">
      <c r="A2" s="27" t="inlineStr">
        <is>
          <t>Fórmula: Break-even = Custo Fixo / (Preço/WF - Custo Variável/WF)</t>
        </is>
      </c>
    </row>
    <row r="4">
      <c r="A4" t="inlineStr">
        <is>
          <t>Custo Fixo Mensal (BRL):</t>
        </is>
      </c>
      <c r="B4" s="19">
        <f>PREMISSAS!C15</f>
        <v/>
      </c>
    </row>
    <row r="5">
      <c r="A5" t="inlineStr">
        <is>
          <t>Custo Variável/WF (BRL):</t>
        </is>
      </c>
      <c r="B5" s="28">
        <f>PREMISSAS!B41</f>
        <v/>
      </c>
    </row>
    <row r="6">
      <c r="A6" t="inlineStr">
        <is>
          <t>Volume típico/cliente:</t>
        </is>
      </c>
      <c r="B6" s="29">
        <f>PREMISSAS!B30</f>
        <v/>
      </c>
    </row>
    <row r="8">
      <c r="A8" s="3" t="inlineStr">
        <is>
          <t>BREAK-EVEN POR PREÇO</t>
        </is>
      </c>
    </row>
    <row r="9">
      <c r="A9" s="5" t="inlineStr">
        <is>
          <t>Preço/WF</t>
        </is>
      </c>
      <c r="B9" s="5" t="inlineStr">
        <is>
          <t>Margem/WF</t>
        </is>
      </c>
      <c r="C9" s="5" t="inlineStr">
        <is>
          <t>Break-even (WF)</t>
        </is>
      </c>
      <c r="D9" s="5" t="inlineStr">
        <is>
          <t>Clientes*</t>
        </is>
      </c>
      <c r="E9" s="5" t="inlineStr">
        <is>
          <t>Viabilidade</t>
        </is>
      </c>
    </row>
    <row r="10">
      <c r="A10" s="14" t="n">
        <v>0.05</v>
      </c>
      <c r="B10" s="30">
        <f>A10-B5</f>
        <v/>
      </c>
      <c r="C10" s="31">
        <f>IF(B10&gt;0,B4/B10,"N/A")</f>
        <v/>
      </c>
      <c r="D10" s="32">
        <f>IF(ISNUMBER(C10),C10/B6,"N/A")</f>
        <v/>
      </c>
      <c r="E10" s="33">
        <f>IF(D10&lt;=1,"Excelente",IF(D10&lt;=2,"Bom",IF(D10&lt;=4,"Aceitavel","Arriscado")))</f>
        <v/>
      </c>
    </row>
    <row r="11">
      <c r="A11" s="14" t="n">
        <v>0.08</v>
      </c>
      <c r="B11" s="30">
        <f>A11-B5</f>
        <v/>
      </c>
      <c r="C11" s="31">
        <f>IF(B11&gt;0,B4/B11,"N/A")</f>
        <v/>
      </c>
      <c r="D11" s="32">
        <f>IF(ISNUMBER(C11),C11/B6,"N/A")</f>
        <v/>
      </c>
      <c r="E11" s="33">
        <f>IF(D11&lt;=1,"Excelente",IF(D11&lt;=2,"Bom",IF(D11&lt;=4,"Aceitavel","Arriscado")))</f>
        <v/>
      </c>
    </row>
    <row r="12">
      <c r="A12" s="14" t="n">
        <v>0.1</v>
      </c>
      <c r="B12" s="30">
        <f>A12-B5</f>
        <v/>
      </c>
      <c r="C12" s="31">
        <f>IF(B12&gt;0,B4/B12,"N/A")</f>
        <v/>
      </c>
      <c r="D12" s="32">
        <f>IF(ISNUMBER(C12),C12/B6,"N/A")</f>
        <v/>
      </c>
      <c r="E12" s="33">
        <f>IF(D12&lt;=1,"Excelente",IF(D12&lt;=2,"Bom",IF(D12&lt;=4,"Aceitavel","Arriscado")))</f>
        <v/>
      </c>
    </row>
    <row r="13">
      <c r="A13" s="14" t="n">
        <v>0.15</v>
      </c>
      <c r="B13" s="30">
        <f>A13-B5</f>
        <v/>
      </c>
      <c r="C13" s="31">
        <f>IF(B13&gt;0,B4/B13,"N/A")</f>
        <v/>
      </c>
      <c r="D13" s="32">
        <f>IF(ISNUMBER(C13),C13/B6,"N/A")</f>
        <v/>
      </c>
      <c r="E13" s="33">
        <f>IF(D13&lt;=1,"Excelente",IF(D13&lt;=2,"Bom",IF(D13&lt;=4,"Aceitavel","Arriscado")))</f>
        <v/>
      </c>
    </row>
    <row r="14">
      <c r="A14" s="14" t="n">
        <v>0.2</v>
      </c>
      <c r="B14" s="30">
        <f>A14-B5</f>
        <v/>
      </c>
      <c r="C14" s="31">
        <f>IF(B14&gt;0,B4/B14,"N/A")</f>
        <v/>
      </c>
      <c r="D14" s="32">
        <f>IF(ISNUMBER(C14),C14/B6,"N/A")</f>
        <v/>
      </c>
      <c r="E14" s="33">
        <f>IF(D14&lt;=1,"Excelente",IF(D14&lt;=2,"Bom",IF(D14&lt;=4,"Aceitavel","Arriscado")))</f>
        <v/>
      </c>
    </row>
    <row r="16">
      <c r="A16" s="34" t="inlineStr">
        <is>
          <t>*Clientes = Break-even / Volume típico por cliente</t>
        </is>
      </c>
    </row>
  </sheetData>
  <mergeCells count="1">
    <mergeCell ref="A8:E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  <col width="25" customWidth="1" min="4" max="4"/>
  </cols>
  <sheetData>
    <row r="1">
      <c r="A1" s="1" t="inlineStr">
        <is>
          <t>SIMULADOR DE MARGEM (Standalone)</t>
        </is>
      </c>
    </row>
    <row r="2">
      <c r="A2" s="27" t="inlineStr">
        <is>
          <t>Todos os cálculos assumem infraestrutura 100% dedicada</t>
        </is>
      </c>
    </row>
    <row r="4">
      <c r="A4" s="3" t="inlineStr">
        <is>
          <t>INPUTS DO SIMULADOR</t>
        </is>
      </c>
    </row>
    <row r="5">
      <c r="A5" t="inlineStr">
        <is>
          <t>Preço Base (BRL):</t>
        </is>
      </c>
      <c r="B5" s="14" t="n">
        <v>2990</v>
      </c>
      <c r="D5" t="inlineStr">
        <is>
          <t>← Ajuste o preço base</t>
        </is>
      </c>
    </row>
    <row r="6">
      <c r="A6" t="inlineStr">
        <is>
          <t>Preço por Workflow (BRL):</t>
        </is>
      </c>
      <c r="B6" s="14" t="n">
        <v>0.08</v>
      </c>
      <c r="D6" t="inlineStr">
        <is>
          <t>← Ajuste o preço por workflow</t>
        </is>
      </c>
    </row>
    <row r="7">
      <c r="A7" t="inlineStr">
        <is>
          <t>Volume de Workflows/mês:</t>
        </is>
      </c>
      <c r="B7" s="13" t="n">
        <v>25000</v>
      </c>
      <c r="D7" t="inlineStr">
        <is>
          <t>← Ajuste o volume esperado</t>
        </is>
      </c>
    </row>
    <row r="9">
      <c r="A9" s="3" t="inlineStr">
        <is>
          <t>RESULTADOS</t>
        </is>
      </c>
    </row>
    <row r="10">
      <c r="A10" t="inlineStr">
        <is>
          <t>Receita Base:</t>
        </is>
      </c>
      <c r="B10" s="19">
        <f>B5</f>
        <v/>
      </c>
    </row>
    <row r="11">
      <c r="A11" t="inlineStr">
        <is>
          <t>Receita Variável:</t>
        </is>
      </c>
      <c r="B11" s="19">
        <f>B7*B6</f>
        <v/>
      </c>
    </row>
    <row r="12">
      <c r="A12" s="8" t="inlineStr">
        <is>
          <t>RECEITA TOTAL:</t>
        </is>
      </c>
      <c r="B12" s="22">
        <f>B5+B11</f>
        <v/>
      </c>
    </row>
    <row r="14">
      <c r="A14" t="inlineStr">
        <is>
          <t>Custo Fixo (infra standalone):</t>
        </is>
      </c>
      <c r="B14" s="19">
        <f>PREMISSAS!C15</f>
        <v/>
      </c>
    </row>
    <row r="15">
      <c r="A15" t="inlineStr">
        <is>
          <t>Custo Variável:</t>
        </is>
      </c>
      <c r="B15" s="19">
        <f>B7*PREMISSAS!B41</f>
        <v/>
      </c>
    </row>
    <row r="16">
      <c r="A16" s="8" t="inlineStr">
        <is>
          <t>CUSTO TOTAL:</t>
        </is>
      </c>
      <c r="B16" s="22">
        <f>B14+B15</f>
        <v/>
      </c>
    </row>
    <row r="18">
      <c r="A18" s="35" t="inlineStr">
        <is>
          <t>MARGEM BRUTA (R$):</t>
        </is>
      </c>
      <c r="B18" s="36">
        <f>B12-B16</f>
        <v/>
      </c>
    </row>
    <row r="19">
      <c r="A19" s="35" t="inlineStr">
        <is>
          <t>MARGEM BRUTA (%):</t>
        </is>
      </c>
      <c r="B19" s="37">
        <f>IF(B12&gt;0,B18/B12,0)</f>
        <v/>
      </c>
    </row>
    <row r="21">
      <c r="A21" s="35" t="inlineStr">
        <is>
          <t>STATUS:</t>
        </is>
      </c>
      <c r="B21" s="38">
        <f>IF(B18&gt;0,"SUSTENTAVEL","PREJUIZO")</f>
        <v/>
      </c>
    </row>
  </sheetData>
  <mergeCells count="2">
    <mergeCell ref="A4:D4"/>
    <mergeCell ref="A9:D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50" customWidth="1" min="3" max="3"/>
  </cols>
  <sheetData>
    <row r="1">
      <c r="A1" s="1" t="inlineStr">
        <is>
          <t>GRAUS DE CONFIANÇA</t>
        </is>
      </c>
    </row>
    <row r="3">
      <c r="A3" s="39" t="inlineStr">
        <is>
          <t>Componente</t>
        </is>
      </c>
      <c r="B3" s="39" t="inlineStr">
        <is>
          <t>Confiança</t>
        </is>
      </c>
      <c r="C3" s="39" t="inlineStr">
        <is>
          <t>Justificativa</t>
        </is>
      </c>
    </row>
    <row r="4">
      <c r="A4" t="inlineStr">
        <is>
          <t>Metodologia standalone-first</t>
        </is>
      </c>
      <c r="B4" t="inlineStr">
        <is>
          <t>ALTO</t>
        </is>
      </c>
      <c r="C4" t="inlineStr">
        <is>
          <t>Princípio de negócio conservador</t>
        </is>
      </c>
    </row>
    <row r="5">
      <c r="A5" t="inlineStr">
        <is>
          <t>Componentes de infraestrutura</t>
        </is>
      </c>
      <c r="B5" t="inlineStr">
        <is>
          <t>ALTO</t>
        </is>
      </c>
      <c r="C5" t="inlineStr">
        <is>
          <t>Baseado em docker-compose.yml real</t>
        </is>
      </c>
    </row>
    <row r="6">
      <c r="A6" t="inlineStr">
        <is>
          <t>Preços de cloud (unitários)</t>
        </is>
      </c>
      <c r="B6" t="inlineStr">
        <is>
          <t>ALTO</t>
        </is>
      </c>
      <c r="C6" t="inlineStr">
        <is>
          <t>Pricing público AWS/MongoDB/Temporal</t>
        </is>
      </c>
    </row>
    <row r="7">
      <c r="A7" t="inlineStr">
        <is>
          <t>Sizing de produção</t>
        </is>
      </c>
      <c r="B7" t="inlineStr">
        <is>
          <t>BAIXO-MEDIO</t>
        </is>
      </c>
      <c r="C7" t="inlineStr">
        <is>
          <t>Sem Terraform - estimar conservador</t>
        </is>
      </c>
    </row>
    <row r="8">
      <c r="A8" t="inlineStr">
        <is>
          <t>Operações por workflow</t>
        </is>
      </c>
      <c r="B8" t="inlineStr">
        <is>
          <t>BAIXO-MEDIO</t>
        </is>
      </c>
      <c r="C8" t="inlineStr">
        <is>
          <t>Baseado em código, não em métricas</t>
        </is>
      </c>
    </row>
    <row r="9">
      <c r="A9" t="inlineStr">
        <is>
          <t>Custo variável por workflow</t>
        </is>
      </c>
      <c r="B9" t="inlineStr">
        <is>
          <t>BAIXO-MEDIO</t>
        </is>
      </c>
      <c r="C9" t="inlineStr">
        <is>
          <t>Requer validação com benchmark</t>
        </is>
      </c>
    </row>
    <row r="10">
      <c r="A10" t="inlineStr">
        <is>
          <t>Modelo de pricing (estrutura)</t>
        </is>
      </c>
      <c r="B10" t="inlineStr">
        <is>
          <t>ALTO</t>
        </is>
      </c>
      <c r="C10" t="inlineStr">
        <is>
          <t>Padrão de mercado (base + variável)</t>
        </is>
      </c>
    </row>
    <row r="11">
      <c r="A11" t="inlineStr">
        <is>
          <t>Modelo de pricing (valores)</t>
        </is>
      </c>
      <c r="B11" t="inlineStr">
        <is>
          <t>MEDIO</t>
        </is>
      </c>
      <c r="C11" t="inlineStr">
        <is>
          <t>Depende de validação de custos</t>
        </is>
      </c>
    </row>
    <row r="14">
      <c r="A14" s="8" t="inlineStr">
        <is>
          <t>AÇÕES PARA AUMENTAR CONFIANÇA:</t>
        </is>
      </c>
    </row>
    <row r="15">
      <c r="A15" t="inlineStr">
        <is>
          <t>1. Executar benchmark script com Docker rodando</t>
        </is>
      </c>
    </row>
    <row r="16">
      <c r="A16" t="inlineStr">
        <is>
          <t>2. Instalar KubeCost no cluster K8s</t>
        </is>
      </c>
    </row>
    <row r="17">
      <c r="A17" t="inlineStr">
        <is>
          <t>3. Rodar load test com 25K-100K workflows</t>
        </is>
      </c>
    </row>
    <row r="18">
      <c r="A18" t="inlineStr">
        <is>
          <t>4. Criar Terraform do Flowker para produção</t>
        </is>
      </c>
    </row>
    <row r="19">
      <c r="A19" t="inlineStr">
        <is>
          <t>5. Coletar 30+ dias de dados de billing real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2026-01-16T15:10:03Z</dcterms:created>
  <dcterms:modified xsi:type="dcterms:W3CDTF">2026-01-16T15:10:03Z</dcterms:modified>
</cp:coreProperties>
</file>