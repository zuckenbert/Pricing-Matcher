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CUSTOS" sheetId="2" state="visible" r:id="rId2"/>
    <sheet name="BREAK_EVEN" sheetId="3" state="visible" r:id="rId3"/>
    <sheet name="CENARIOS" sheetId="4" state="visible" r:id="rId4"/>
    <sheet name="PRICING" sheetId="5" state="visible" r:id="rId5"/>
    <sheet name="CONFIANC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 #,##0.00"/>
    <numFmt numFmtId="165" formatCode="R$ #,##0.00"/>
    <numFmt numFmtId="166" formatCode="#,##0.000000"/>
    <numFmt numFmtId="167" formatCode="0.0%"/>
    <numFmt numFmtId="168" formatCode="R$ #,##0.0000"/>
    <numFmt numFmtId="169" formatCode="#,##0.0"/>
  </numFmts>
  <fonts count="9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2"/>
    </font>
    <font>
      <b val="1"/>
    </font>
    <font>
      <b val="1"/>
      <color rgb="00FFFFFF"/>
    </font>
    <font>
      <b val="1"/>
      <color rgb="00808080"/>
      <sz val="10"/>
    </font>
    <font>
      <i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1" pivotButton="0" quotePrefix="0" xfId="0"/>
    <xf numFmtId="0" fontId="5" fillId="4" borderId="0" pivotButton="0" quotePrefix="0" xfId="0"/>
    <xf numFmtId="164" fontId="0" fillId="3" borderId="1" pivotButton="0" quotePrefix="0" xfId="0"/>
    <xf numFmtId="165" fontId="0" fillId="5" borderId="1" pivotButton="0" quotePrefix="0" xfId="0"/>
    <xf numFmtId="0" fontId="4" fillId="0" borderId="0" pivotButton="0" quotePrefix="0" xfId="0"/>
    <xf numFmtId="164" fontId="4" fillId="5" borderId="1" pivotButton="0" quotePrefix="0" xfId="0"/>
    <xf numFmtId="165" fontId="4" fillId="5" borderId="1" pivotButton="0" quotePrefix="0" xfId="0"/>
    <xf numFmtId="166" fontId="0" fillId="3" borderId="1" pivotButton="0" quotePrefix="0" xfId="0"/>
    <xf numFmtId="3" fontId="0" fillId="3" borderId="1" pivotButton="0" quotePrefix="0" xfId="0"/>
    <xf numFmtId="167" fontId="0" fillId="3" borderId="1" pivotButton="0" quotePrefix="0" xfId="0"/>
    <xf numFmtId="165" fontId="0" fillId="3" borderId="1" pivotButton="0" quotePrefix="0" xfId="0"/>
    <xf numFmtId="0" fontId="6" fillId="0" borderId="0" pivotButton="0" quotePrefix="0" xfId="0"/>
    <xf numFmtId="166" fontId="0" fillId="5" borderId="1" pivotButton="0" quotePrefix="0" xfId="0"/>
    <xf numFmtId="164" fontId="0" fillId="5" borderId="1" pivotButton="0" quotePrefix="0" xfId="0"/>
    <xf numFmtId="167" fontId="0" fillId="5" borderId="1" pivotButton="0" quotePrefix="0" xfId="0"/>
    <xf numFmtId="0" fontId="0" fillId="5" borderId="1" pivotButton="0" quotePrefix="0" xfId="0"/>
    <xf numFmtId="166" fontId="4" fillId="5" borderId="1" pivotButton="0" quotePrefix="0" xfId="0"/>
    <xf numFmtId="0" fontId="7" fillId="0" borderId="0" pivotButton="0" quotePrefix="0" xfId="0"/>
    <xf numFmtId="165" fontId="0" fillId="5" borderId="0" pivotButton="0" quotePrefix="0" xfId="0"/>
    <xf numFmtId="166" fontId="0" fillId="5" borderId="0" pivotButton="0" quotePrefix="0" xfId="0"/>
    <xf numFmtId="168" fontId="0" fillId="5" borderId="1" pivotButton="0" quotePrefix="0" xfId="0"/>
    <xf numFmtId="3" fontId="0" fillId="5" borderId="1" pivotButton="0" quotePrefix="0" xfId="0"/>
    <xf numFmtId="169" fontId="0" fillId="5" borderId="1" pivotButton="0" quotePrefix="0" xfId="0"/>
    <xf numFmtId="0" fontId="8" fillId="0" borderId="0" pivotButton="0" quotePrefix="0" xfId="0"/>
    <xf numFmtId="3" fontId="0" fillId="5" borderId="0" pivotButton="0" quotePrefix="0" xfId="0"/>
    <xf numFmtId="165" fontId="4" fillId="5" borderId="0" pivotButton="0" quotePrefix="0" xfId="0"/>
    <xf numFmtId="167" fontId="4" fillId="5" borderId="0" pivotButton="0" quotePrefix="0" xfId="0"/>
    <xf numFmtId="167" fontId="0" fillId="5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0" fillId="5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40" customWidth="1" min="4" max="4"/>
  </cols>
  <sheetData>
    <row r="1">
      <c r="A1" s="1" t="inlineStr">
        <is>
          <t>ANÁLISE DE PRICING - FLOWKER</t>
        </is>
      </c>
    </row>
    <row r="2">
      <c r="A2" s="2" t="inlineStr">
        <is>
          <t>Premissas Editáveis (células amarelas)</t>
        </is>
      </c>
    </row>
    <row r="4">
      <c r="A4" s="3" t="inlineStr">
        <is>
          <t>TAXA DE CÂMBIO</t>
        </is>
      </c>
    </row>
    <row r="5">
      <c r="A5" t="inlineStr">
        <is>
          <t>USD para BRL</t>
        </is>
      </c>
      <c r="B5" s="4" t="n">
        <v>5</v>
      </c>
      <c r="C5" t="inlineStr">
        <is>
          <t>BRL/USD</t>
        </is>
      </c>
      <c r="D5" t="inlineStr">
        <is>
          <t>← EDITÁVEL: Ajuste conforme câmbio atual</t>
        </is>
      </c>
    </row>
    <row r="7">
      <c r="A7" s="3" t="inlineStr">
        <is>
          <t>PREÇOS DE CLOUD (USD/mês)</t>
        </is>
      </c>
    </row>
    <row r="8">
      <c r="A8" s="5" t="inlineStr">
        <is>
          <t>Componente</t>
        </is>
      </c>
      <c r="B8" s="5" t="inlineStr">
        <is>
          <t>Preço USD</t>
        </is>
      </c>
      <c r="C8" s="5" t="inlineStr">
        <is>
          <t>Preço BRL</t>
        </is>
      </c>
      <c r="D8" s="5" t="inlineStr">
        <is>
          <t>Configuração</t>
        </is>
      </c>
    </row>
    <row r="9">
      <c r="A9" t="inlineStr">
        <is>
          <t>PostgreSQL (RDS)</t>
        </is>
      </c>
      <c r="B9" s="6" t="n">
        <v>108</v>
      </c>
      <c r="C9" s="7">
        <f>B9*B5</f>
        <v/>
      </c>
      <c r="D9" t="inlineStr">
        <is>
          <t>db.r6g.large (2 vCPU, 16GB)</t>
        </is>
      </c>
    </row>
    <row r="10">
      <c r="A10" t="inlineStr">
        <is>
          <t>MongoDB (Atlas)</t>
        </is>
      </c>
      <c r="B10" s="6" t="n">
        <v>389</v>
      </c>
      <c r="C10" s="7">
        <f>B10*B5</f>
        <v/>
      </c>
      <c r="D10" t="inlineStr">
        <is>
          <t>M30 (2 vCPU, 8GB)</t>
        </is>
      </c>
    </row>
    <row r="11">
      <c r="A11" t="inlineStr">
        <is>
          <t>Valkey (ElastiCache)</t>
        </is>
      </c>
      <c r="B11" s="6" t="n">
        <v>94</v>
      </c>
      <c r="C11" s="7">
        <f>B11*B5</f>
        <v/>
      </c>
      <c r="D11" t="inlineStr">
        <is>
          <t>cache.r6g.large (2 vCPU, 13GB)</t>
        </is>
      </c>
    </row>
    <row r="12">
      <c r="A12" t="inlineStr">
        <is>
          <t>Temporal Cloud</t>
        </is>
      </c>
      <c r="B12" s="6" t="n">
        <v>25</v>
      </c>
      <c r="C12" s="7">
        <f>B12*B5</f>
        <v/>
      </c>
      <c r="D12" t="inlineStr">
        <is>
          <t>Base plan</t>
        </is>
      </c>
    </row>
    <row r="13">
      <c r="A13" t="inlineStr">
        <is>
          <t>RabbitMQ (Amazon MQ)</t>
        </is>
      </c>
      <c r="B13" s="6" t="n">
        <v>180</v>
      </c>
      <c r="C13" s="7">
        <f>B13*B5</f>
        <v/>
      </c>
      <c r="D13" t="inlineStr">
        <is>
          <t>mq.m5.large (2 vCPU, 8GB)</t>
        </is>
      </c>
    </row>
    <row r="14">
      <c r="A14" t="inlineStr">
        <is>
          <t>Compute (EKS)</t>
        </is>
      </c>
      <c r="B14" s="6" t="n">
        <v>122</v>
      </c>
      <c r="C14" s="7">
        <f>B14*B5</f>
        <v/>
      </c>
      <c r="D14" t="inlineStr">
        <is>
          <t>2x c6g.large (2 vCPU, 4GB each)</t>
        </is>
      </c>
    </row>
    <row r="15">
      <c r="A15" s="8" t="inlineStr">
        <is>
          <t>TOTAL INFRA</t>
        </is>
      </c>
      <c r="B15" s="9">
        <f>SUM(B9:B14)</f>
        <v/>
      </c>
      <c r="C15" s="10">
        <f>B15*B5</f>
        <v/>
      </c>
    </row>
    <row r="17">
      <c r="A17" s="3" t="inlineStr">
        <is>
          <t>OPERAÇÕES POR WORKFLOW</t>
        </is>
      </c>
    </row>
    <row r="18">
      <c r="A18" s="5" t="inlineStr">
        <is>
          <t>Operação</t>
        </is>
      </c>
      <c r="B18" s="5" t="inlineStr">
        <is>
          <t>Quantidade</t>
        </is>
      </c>
      <c r="C18" s="5" t="inlineStr">
        <is>
          <t>Unidade</t>
        </is>
      </c>
      <c r="D18" s="5" t="inlineStr">
        <is>
          <t>Fonte</t>
        </is>
      </c>
    </row>
    <row r="19">
      <c r="A19" t="inlineStr">
        <is>
          <t>Temporal Actions</t>
        </is>
      </c>
      <c r="B19" s="4" t="n">
        <v>9</v>
      </c>
      <c r="C19" t="inlineStr">
        <is>
          <t>actions/wf</t>
        </is>
      </c>
      <c r="D19" t="inlineStr">
        <is>
          <t>Código: validation_workflow.go</t>
        </is>
      </c>
    </row>
    <row r="20">
      <c r="A20" t="inlineStr">
        <is>
          <t>MongoDB Operations</t>
        </is>
      </c>
      <c r="B20" s="4" t="n">
        <v>6</v>
      </c>
      <c r="C20" t="inlineStr">
        <is>
          <t>ops/wf</t>
        </is>
      </c>
      <c r="D20" t="inlineStr">
        <is>
          <t>Código: activities.go (audit writes)</t>
        </is>
      </c>
    </row>
    <row r="21">
      <c r="A21" t="inlineStr">
        <is>
          <t>Valkey Operations</t>
        </is>
      </c>
      <c r="B21" s="4" t="n">
        <v>12</v>
      </c>
      <c r="C21" t="inlineStr">
        <is>
          <t>ops/wf</t>
        </is>
      </c>
      <c r="D21" t="inlineStr">
        <is>
          <t>Código: locks + cache</t>
        </is>
      </c>
    </row>
    <row r="23">
      <c r="A23" s="3" t="inlineStr">
        <is>
          <t>CUSTOS POR OPERAÇÃO (USD)</t>
        </is>
      </c>
    </row>
    <row r="24">
      <c r="A24" s="5" t="inlineStr">
        <is>
          <t>Operação</t>
        </is>
      </c>
      <c r="B24" s="5" t="inlineStr">
        <is>
          <t>Custo USD</t>
        </is>
      </c>
      <c r="C24" s="5" t="inlineStr">
        <is>
          <t>Unidade</t>
        </is>
      </c>
      <c r="D24" s="5" t="inlineStr">
        <is>
          <t>Fonte</t>
        </is>
      </c>
    </row>
    <row r="25">
      <c r="A25" t="inlineStr">
        <is>
          <t>Temporal (por action)</t>
        </is>
      </c>
      <c r="B25" s="11" t="n">
        <v>2.5e-05</v>
      </c>
      <c r="C25" t="inlineStr">
        <is>
          <t>USD/action</t>
        </is>
      </c>
      <c r="D25" t="inlineStr">
        <is>
          <t>Temporal Cloud Pricing</t>
        </is>
      </c>
    </row>
    <row r="26">
      <c r="A26" t="inlineStr">
        <is>
          <t>MongoDB (por operação)</t>
        </is>
      </c>
      <c r="B26" s="11" t="n">
        <v>1e-06</v>
      </c>
      <c r="C26" t="inlineStr">
        <is>
          <t>USD/op</t>
        </is>
      </c>
      <c r="D26" t="inlineStr">
        <is>
          <t>Estimativa Atlas</t>
        </is>
      </c>
    </row>
    <row r="27">
      <c r="A27" t="inlineStr">
        <is>
          <t>Valkey (por operação)</t>
        </is>
      </c>
      <c r="B27" s="11" t="n">
        <v>1e-07</v>
      </c>
      <c r="C27" t="inlineStr">
        <is>
          <t>USD/op</t>
        </is>
      </c>
      <c r="D27" t="inlineStr">
        <is>
          <t>Estimativa ElastiCache</t>
        </is>
      </c>
    </row>
    <row r="29">
      <c r="A29" s="3" t="inlineStr">
        <is>
          <t>CENÁRIO DE VOLUME</t>
        </is>
      </c>
    </row>
    <row r="30">
      <c r="A30" t="inlineStr">
        <is>
          <t>Workflows por mês (cliente típico)</t>
        </is>
      </c>
      <c r="B30" s="12" t="n">
        <v>25000</v>
      </c>
      <c r="D30" t="inlineStr">
        <is>
          <t>← Volume médio esperado por cliente</t>
        </is>
      </c>
    </row>
    <row r="31">
      <c r="A31" t="inlineStr">
        <is>
          <t>% Infra compartilhada (best case)</t>
        </is>
      </c>
      <c r="B31" s="13" t="n">
        <v>0.25</v>
      </c>
      <c r="D31" t="inlineStr">
        <is>
          <t>← Flowker usa X% do cluster compartilhado</t>
        </is>
      </c>
    </row>
    <row r="33">
      <c r="A33" s="3" t="inlineStr">
        <is>
          <t>PRICING TIERS</t>
        </is>
      </c>
    </row>
    <row r="34">
      <c r="A34" s="5" t="inlineStr">
        <is>
          <t>Tier</t>
        </is>
      </c>
      <c r="B34" s="5" t="inlineStr">
        <is>
          <t>Base (BRL)</t>
        </is>
      </c>
      <c r="C34" s="5" t="inlineStr">
        <is>
          <t>Por WF (BRL)</t>
        </is>
      </c>
      <c r="D34" s="5" t="inlineStr">
        <is>
          <t>Limite WF/mês</t>
        </is>
      </c>
    </row>
    <row r="35">
      <c r="A35" t="inlineStr">
        <is>
          <t>Starter</t>
        </is>
      </c>
      <c r="B35" s="14" t="n">
        <v>0</v>
      </c>
      <c r="C35" s="14" t="n">
        <v>0</v>
      </c>
      <c r="D35" s="12" t="n">
        <v>1000</v>
      </c>
    </row>
    <row r="36">
      <c r="A36" t="inlineStr">
        <is>
          <t>Growth</t>
        </is>
      </c>
      <c r="B36" s="14" t="n">
        <v>2990</v>
      </c>
      <c r="C36" s="14" t="n">
        <v>0.08</v>
      </c>
      <c r="D36" s="12" t="n">
        <v>25000</v>
      </c>
    </row>
    <row r="37">
      <c r="A37" t="inlineStr">
        <is>
          <t>Scale</t>
        </is>
      </c>
      <c r="B37" s="14" t="n">
        <v>9990</v>
      </c>
      <c r="C37" s="14" t="n">
        <v>0.04</v>
      </c>
      <c r="D37" s="12" t="n">
        <v>200000</v>
      </c>
    </row>
    <row r="38">
      <c r="A38" t="inlineStr">
        <is>
          <t>Enterprise</t>
        </is>
      </c>
      <c r="B38" s="14" t="n">
        <v>19990</v>
      </c>
      <c r="C38" s="14" t="n">
        <v>0.02</v>
      </c>
      <c r="D38" s="12" t="n">
        <v>1000000</v>
      </c>
    </row>
    <row r="41">
      <c r="A41" s="15" t="inlineStr">
        <is>
          <t>REFERÊNCIAS INTERNAS (não editar)</t>
        </is>
      </c>
    </row>
    <row r="42">
      <c r="A42" t="inlineStr">
        <is>
          <t>Custo Variável/WF (USD)</t>
        </is>
      </c>
      <c r="B42" s="16">
        <f>(B19*B25)+(B20*B26)+(B21*B27)</f>
        <v/>
      </c>
    </row>
    <row r="43">
      <c r="A43" t="inlineStr">
        <is>
          <t>Custo Variável/WF (BRL)</t>
        </is>
      </c>
      <c r="B43" s="16">
        <f>B42*B5</f>
        <v/>
      </c>
    </row>
  </sheetData>
  <mergeCells count="7">
    <mergeCell ref="A1:D1"/>
    <mergeCell ref="A23:D23"/>
    <mergeCell ref="A17:D17"/>
    <mergeCell ref="A4:D4"/>
    <mergeCell ref="A29:D29"/>
    <mergeCell ref="A7:D7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>
      <c r="A1" s="1" t="inlineStr">
        <is>
          <t>ANÁLISE DE CUSTOS - FLOWKER</t>
        </is>
      </c>
    </row>
    <row r="3">
      <c r="A3" s="3" t="inlineStr">
        <is>
          <t>CUSTOS FIXOS MENSAIS (Infraestrutura Standalone)</t>
        </is>
      </c>
    </row>
    <row r="4">
      <c r="A4" s="5" t="inlineStr">
        <is>
          <t>Componente</t>
        </is>
      </c>
      <c r="B4" s="5" t="inlineStr">
        <is>
          <t>Custo USD</t>
        </is>
      </c>
      <c r="C4" s="5" t="inlineStr">
        <is>
          <t>Custo BRL</t>
        </is>
      </c>
      <c r="D4" s="5" t="inlineStr">
        <is>
          <t>% do Total</t>
        </is>
      </c>
      <c r="E4" s="5" t="inlineStr">
        <is>
          <t>Confiança</t>
        </is>
      </c>
    </row>
    <row r="5">
      <c r="A5" t="inlineStr">
        <is>
          <t>PostgreSQL (RDS)</t>
        </is>
      </c>
      <c r="B5" s="17">
        <f>PREMISSAS!B9</f>
        <v/>
      </c>
      <c r="C5" s="7">
        <f>B5*PREMISSAS!B5</f>
        <v/>
      </c>
      <c r="D5" s="18">
        <f>B5/B11</f>
        <v/>
      </c>
      <c r="E5" t="inlineStr">
        <is>
          <t>🟢 Alto</t>
        </is>
      </c>
    </row>
    <row r="6">
      <c r="A6" t="inlineStr">
        <is>
          <t>MongoDB (Atlas)</t>
        </is>
      </c>
      <c r="B6" s="17">
        <f>PREMISSAS!B10</f>
        <v/>
      </c>
      <c r="C6" s="7">
        <f>B6*PREMISSAS!B5</f>
        <v/>
      </c>
      <c r="D6" s="18">
        <f>B6/B11</f>
        <v/>
      </c>
      <c r="E6" t="inlineStr">
        <is>
          <t>🟢 Alto</t>
        </is>
      </c>
    </row>
    <row r="7">
      <c r="A7" t="inlineStr">
        <is>
          <t>Valkey (ElastiCache)</t>
        </is>
      </c>
      <c r="B7" s="17">
        <f>PREMISSAS!B11</f>
        <v/>
      </c>
      <c r="C7" s="7">
        <f>B7*PREMISSAS!B5</f>
        <v/>
      </c>
      <c r="D7" s="18">
        <f>B7/B11</f>
        <v/>
      </c>
      <c r="E7" t="inlineStr">
        <is>
          <t>🟢 Alto</t>
        </is>
      </c>
    </row>
    <row r="8">
      <c r="A8" t="inlineStr">
        <is>
          <t>Temporal Cloud</t>
        </is>
      </c>
      <c r="B8" s="17">
        <f>PREMISSAS!B12</f>
        <v/>
      </c>
      <c r="C8" s="7">
        <f>B8*PREMISSAS!B5</f>
        <v/>
      </c>
      <c r="D8" s="18">
        <f>B8/B11</f>
        <v/>
      </c>
      <c r="E8" t="inlineStr">
        <is>
          <t>🟢 Alto</t>
        </is>
      </c>
    </row>
    <row r="9">
      <c r="A9" t="inlineStr">
        <is>
          <t>RabbitMQ (Amazon MQ)</t>
        </is>
      </c>
      <c r="B9" s="17">
        <f>PREMISSAS!B13</f>
        <v/>
      </c>
      <c r="C9" s="7">
        <f>B9*PREMISSAS!B5</f>
        <v/>
      </c>
      <c r="D9" s="18">
        <f>B9/B11</f>
        <v/>
      </c>
      <c r="E9" t="inlineStr">
        <is>
          <t>🟢 Alto</t>
        </is>
      </c>
    </row>
    <row r="10">
      <c r="A10" t="inlineStr">
        <is>
          <t>Compute (EKS)</t>
        </is>
      </c>
      <c r="B10" s="17">
        <f>PREMISSAS!B14</f>
        <v/>
      </c>
      <c r="C10" s="7">
        <f>B10*PREMISSAS!B5</f>
        <v/>
      </c>
      <c r="D10" s="18">
        <f>B10/B11</f>
        <v/>
      </c>
      <c r="E10" t="inlineStr">
        <is>
          <t>🟢 Alto</t>
        </is>
      </c>
    </row>
    <row r="11">
      <c r="A11" s="8" t="inlineStr">
        <is>
          <t>TOTAL CUSTO FIXO</t>
        </is>
      </c>
      <c r="B11" s="9">
        <f>SUM(B5:B10)</f>
        <v/>
      </c>
      <c r="C11" s="10">
        <f>B11*PREMISSAS!B5</f>
        <v/>
      </c>
      <c r="D11" s="18">
        <f>100%</f>
        <v/>
      </c>
    </row>
    <row r="13">
      <c r="A13" s="3" t="inlineStr">
        <is>
          <t>CUSTOS VARIÁVEIS (por Workflow)</t>
        </is>
      </c>
    </row>
    <row r="14">
      <c r="A14" s="5" t="inlineStr">
        <is>
          <t>Componente</t>
        </is>
      </c>
      <c r="B14" s="5" t="inlineStr">
        <is>
          <t>Ops/WF</t>
        </is>
      </c>
      <c r="C14" s="5" t="inlineStr">
        <is>
          <t>Custo/Op (USD)</t>
        </is>
      </c>
      <c r="D14" s="5" t="inlineStr">
        <is>
          <t>Custo/WF (USD)</t>
        </is>
      </c>
      <c r="E14" s="5" t="inlineStr">
        <is>
          <t>Confiança</t>
        </is>
      </c>
    </row>
    <row r="15">
      <c r="A15" t="inlineStr">
        <is>
          <t>Temporal Actions</t>
        </is>
      </c>
      <c r="B15" s="19">
        <f>PREMISSAS!B19</f>
        <v/>
      </c>
      <c r="C15" s="16">
        <f>PREMISSAS!B26</f>
        <v/>
      </c>
      <c r="D15" s="16">
        <f>B15*C15</f>
        <v/>
      </c>
      <c r="E15" t="inlineStr">
        <is>
          <t>🟠 Baixo-Médio</t>
        </is>
      </c>
    </row>
    <row r="16">
      <c r="A16" t="inlineStr">
        <is>
          <t>MongoDB Operations</t>
        </is>
      </c>
      <c r="B16" s="19">
        <f>PREMISSAS!B20</f>
        <v/>
      </c>
      <c r="C16" s="16">
        <f>PREMISSAS!B27</f>
        <v/>
      </c>
      <c r="D16" s="16">
        <f>B16*C16</f>
        <v/>
      </c>
      <c r="E16" t="inlineStr">
        <is>
          <t>🟠 Baixo-Médio</t>
        </is>
      </c>
    </row>
    <row r="17">
      <c r="A17" t="inlineStr">
        <is>
          <t>Valkey Operations</t>
        </is>
      </c>
      <c r="B17" s="19">
        <f>PREMISSAS!B21</f>
        <v/>
      </c>
      <c r="C17" s="16">
        <f>PREMISSAS!B28</f>
        <v/>
      </c>
      <c r="D17" s="16">
        <f>B17*C17</f>
        <v/>
      </c>
      <c r="E17" t="inlineStr">
        <is>
          <t>🟠 Baixo-Médio</t>
        </is>
      </c>
    </row>
    <row r="18">
      <c r="A18" s="8" t="inlineStr">
        <is>
          <t>TOTAL CUSTO VARIÁVEL/WF (USD)</t>
        </is>
      </c>
      <c r="D18" s="20">
        <f>SUM(D15:D17)</f>
        <v/>
      </c>
    </row>
    <row r="19">
      <c r="A19" s="8" t="inlineStr">
        <is>
          <t>TOTAL CUSTO VARIÁVEL/WF (BRL)</t>
        </is>
      </c>
      <c r="D19" s="20">
        <f>D18*PREMISSAS!B5</f>
        <v/>
      </c>
    </row>
  </sheetData>
  <mergeCells count="3">
    <mergeCell ref="A1:E1"/>
    <mergeCell ref="A13:E1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ANÁLISE DE BREAK-EVEN</t>
        </is>
      </c>
    </row>
    <row r="2">
      <c r="A2" s="21" t="inlineStr">
        <is>
          <t>Fórmula: Break-even = Custo Fixo / (Preço/WF - Custo Variável/WF)</t>
        </is>
      </c>
    </row>
    <row r="4">
      <c r="A4" t="inlineStr">
        <is>
          <t>Custo Fixo Mensal (BRL):</t>
        </is>
      </c>
      <c r="B4" s="22">
        <f>CUSTOS!C11</f>
        <v/>
      </c>
    </row>
    <row r="5">
      <c r="A5" t="inlineStr">
        <is>
          <t>Custo Variável/WF (BRL):</t>
        </is>
      </c>
      <c r="B5" s="23">
        <f>CUSTOS!D19</f>
        <v/>
      </c>
    </row>
    <row r="7">
      <c r="A7" s="3" t="inlineStr">
        <is>
          <t>BREAK-EVEN POR PREÇO</t>
        </is>
      </c>
    </row>
    <row r="8">
      <c r="A8" s="5" t="inlineStr">
        <is>
          <t>Preço/WF (BRL)</t>
        </is>
      </c>
      <c r="B8" s="5" t="inlineStr">
        <is>
          <t>Margem/WF (BRL)</t>
        </is>
      </c>
      <c r="C8" s="5" t="inlineStr">
        <is>
          <t>Break-even (WF)</t>
        </is>
      </c>
      <c r="D8" s="5" t="inlineStr">
        <is>
          <t>Clientes Equiv.*</t>
        </is>
      </c>
      <c r="E8" s="5" t="inlineStr">
        <is>
          <t>Viabilidade</t>
        </is>
      </c>
    </row>
    <row r="9">
      <c r="A9" s="14" t="n">
        <v>0.05</v>
      </c>
      <c r="B9" s="24">
        <f>A9-B5</f>
        <v/>
      </c>
      <c r="C9" s="25">
        <f>IF(B9&gt;0,B4/B9,"N/A")</f>
        <v/>
      </c>
      <c r="D9" s="26">
        <f>IF(ISNUMBER(C9),C9/PREMISSAS!B31,"N/A")</f>
        <v/>
      </c>
      <c r="E9" s="19">
        <f>IF(D9&lt;=1,"✅ Excelente",IF(D9&lt;=2,"✅ Bom",IF(D9&lt;=4,"⚠️ Aceitável","❌ Arriscado")))</f>
        <v/>
      </c>
    </row>
    <row r="10">
      <c r="A10" s="14" t="n">
        <v>0.08</v>
      </c>
      <c r="B10" s="24">
        <f>A10-B5</f>
        <v/>
      </c>
      <c r="C10" s="25">
        <f>IF(B10&gt;0,B4/B10,"N/A")</f>
        <v/>
      </c>
      <c r="D10" s="26">
        <f>IF(ISNUMBER(C10),C10/PREMISSAS!B31,"N/A")</f>
        <v/>
      </c>
      <c r="E10" s="19">
        <f>IF(D10&lt;=1,"✅ Excelente",IF(D10&lt;=2,"✅ Bom",IF(D10&lt;=4,"⚠️ Aceitável","❌ Arriscado")))</f>
        <v/>
      </c>
    </row>
    <row r="11">
      <c r="A11" s="14" t="n">
        <v>0.1</v>
      </c>
      <c r="B11" s="24">
        <f>A11-B5</f>
        <v/>
      </c>
      <c r="C11" s="25">
        <f>IF(B11&gt;0,B4/B11,"N/A")</f>
        <v/>
      </c>
      <c r="D11" s="26">
        <f>IF(ISNUMBER(C11),C11/PREMISSAS!B31,"N/A")</f>
        <v/>
      </c>
      <c r="E11" s="19">
        <f>IF(D11&lt;=1,"✅ Excelente",IF(D11&lt;=2,"✅ Bom",IF(D11&lt;=4,"⚠️ Aceitável","❌ Arriscado")))</f>
        <v/>
      </c>
    </row>
    <row r="12">
      <c r="A12" s="14" t="n">
        <v>0.15</v>
      </c>
      <c r="B12" s="24">
        <f>A12-B5</f>
        <v/>
      </c>
      <c r="C12" s="25">
        <f>IF(B12&gt;0,B4/B12,"N/A")</f>
        <v/>
      </c>
      <c r="D12" s="26">
        <f>IF(ISNUMBER(C12),C12/PREMISSAS!B31,"N/A")</f>
        <v/>
      </c>
      <c r="E12" s="19">
        <f>IF(D12&lt;=1,"✅ Excelente",IF(D12&lt;=2,"✅ Bom",IF(D12&lt;=4,"⚠️ Aceitável","❌ Arriscado")))</f>
        <v/>
      </c>
    </row>
    <row r="13">
      <c r="A13" s="14" t="n">
        <v>0.2</v>
      </c>
      <c r="B13" s="24">
        <f>A13-B5</f>
        <v/>
      </c>
      <c r="C13" s="25">
        <f>IF(B13&gt;0,B4/B13,"N/A")</f>
        <v/>
      </c>
      <c r="D13" s="26">
        <f>IF(ISNUMBER(C13),C13/PREMISSAS!B31,"N/A")</f>
        <v/>
      </c>
      <c r="E13" s="19">
        <f>IF(D13&lt;=1,"✅ Excelente",IF(D13&lt;=2,"✅ Bom",IF(D13&lt;=4,"⚠️ Aceitável","❌ Arriscado")))</f>
        <v/>
      </c>
    </row>
    <row r="15">
      <c r="A15" s="27" t="inlineStr">
        <is>
          <t>*Assumindo cliente médio com volume da aba PREMISSAS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CENÁRIOS DE MARGEM</t>
        </is>
      </c>
    </row>
    <row r="3">
      <c r="A3" s="3" t="inlineStr">
        <is>
          <t>CENÁRIO 1: STANDALONE (Worst Case)</t>
        </is>
      </c>
    </row>
    <row r="4">
      <c r="A4" s="21" t="inlineStr">
        <is>
          <t>Premissa: 1 cliente, infra 100% dedicada</t>
        </is>
      </c>
    </row>
    <row r="6">
      <c r="A6" t="inlineStr">
        <is>
          <t>Workflows/mês:</t>
        </is>
      </c>
      <c r="B6" s="28">
        <f>PREMISSAS!B31</f>
        <v/>
      </c>
    </row>
    <row r="7">
      <c r="A7" t="inlineStr">
        <is>
          <t>Tier:</t>
        </is>
      </c>
      <c r="B7" t="inlineStr">
        <is>
          <t>Growth</t>
        </is>
      </c>
    </row>
    <row r="8">
      <c r="A8" t="inlineStr">
        <is>
          <t>Receita Base:</t>
        </is>
      </c>
      <c r="B8" s="22">
        <f>PREMISSAS!B37</f>
        <v/>
      </c>
    </row>
    <row r="9">
      <c r="A9" t="inlineStr">
        <is>
          <t>Receita Variável:</t>
        </is>
      </c>
      <c r="B9" s="22">
        <f>B6*PREMISSAS!C37</f>
        <v/>
      </c>
    </row>
    <row r="10">
      <c r="A10" s="8" t="inlineStr">
        <is>
          <t>RECEITA TOTAL:</t>
        </is>
      </c>
      <c r="B10" s="29">
        <f>B8+B9</f>
        <v/>
      </c>
    </row>
    <row r="12">
      <c r="A12" t="inlineStr">
        <is>
          <t>Custo Fixo (100% infra):</t>
        </is>
      </c>
      <c r="B12" s="22">
        <f>CUSTOS!C11</f>
        <v/>
      </c>
    </row>
    <row r="13">
      <c r="A13" t="inlineStr">
        <is>
          <t>Custo Variável:</t>
        </is>
      </c>
      <c r="B13" s="22">
        <f>B6*CUSTOS!D19</f>
        <v/>
      </c>
    </row>
    <row r="14">
      <c r="A14" s="8" t="inlineStr">
        <is>
          <t>CUSTO TOTAL:</t>
        </is>
      </c>
      <c r="B14" s="29">
        <f>B12+B13</f>
        <v/>
      </c>
    </row>
    <row r="16">
      <c r="A16" s="8" t="inlineStr">
        <is>
          <t>MARGEM BRUTA (R$):</t>
        </is>
      </c>
      <c r="B16" s="29">
        <f>B10-B14</f>
        <v/>
      </c>
    </row>
    <row r="17">
      <c r="A17" s="8" t="inlineStr">
        <is>
          <t>MARGEM BRUTA (%):</t>
        </is>
      </c>
      <c r="B17" s="30">
        <f>B16/B10</f>
        <v/>
      </c>
    </row>
    <row r="20">
      <c r="A20" s="3" t="inlineStr">
        <is>
          <t>CENÁRIO 2: COMPARTILHADO (Best Case)</t>
        </is>
      </c>
    </row>
    <row r="21">
      <c r="A21" s="21" t="inlineStr">
        <is>
          <t>Premissa: Múltiplos clientes, infra compartilhada</t>
        </is>
      </c>
    </row>
    <row r="23">
      <c r="A23" t="inlineStr">
        <is>
          <t>% da Infra usada:</t>
        </is>
      </c>
      <c r="B23" s="31">
        <f>PREMISSAS!B32</f>
        <v/>
      </c>
    </row>
    <row r="24">
      <c r="A24" t="inlineStr">
        <is>
          <t>Workflows/mês:</t>
        </is>
      </c>
      <c r="B24" s="28">
        <f>PREMISSAS!B31</f>
        <v/>
      </c>
    </row>
    <row r="25">
      <c r="A25" s="8" t="inlineStr">
        <is>
          <t>RECEITA TOTAL:</t>
        </is>
      </c>
      <c r="B25" s="29">
        <f>B10</f>
        <v/>
      </c>
    </row>
    <row r="27">
      <c r="A27" t="inlineStr">
        <is>
          <t>Custo Fixo (% compartilhado):</t>
        </is>
      </c>
      <c r="B27" s="22">
        <f>CUSTOS!C11*B23</f>
        <v/>
      </c>
    </row>
    <row r="28">
      <c r="A28" t="inlineStr">
        <is>
          <t>Custo Variável:</t>
        </is>
      </c>
      <c r="B28" s="22">
        <f>B24*CUSTOS!D19</f>
        <v/>
      </c>
    </row>
    <row r="29">
      <c r="A29" s="8" t="inlineStr">
        <is>
          <t>CUSTO TOTAL:</t>
        </is>
      </c>
      <c r="B29" s="29">
        <f>B27+B28</f>
        <v/>
      </c>
    </row>
    <row r="31">
      <c r="A31" s="8" t="inlineStr">
        <is>
          <t>MARGEM BRUTA (R$):</t>
        </is>
      </c>
      <c r="B31" s="29">
        <f>B25-B29</f>
        <v/>
      </c>
    </row>
    <row r="32">
      <c r="A32" s="8" t="inlineStr">
        <is>
          <t>MARGEM BRUTA (%):</t>
        </is>
      </c>
      <c r="B32" s="30">
        <f>B31/B25</f>
        <v/>
      </c>
    </row>
  </sheetData>
  <mergeCells count="3">
    <mergeCell ref="A1:D1"/>
    <mergeCell ref="A20:D20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18" customWidth="1" min="7" max="7"/>
    <col width="15" customWidth="1" min="8" max="8"/>
  </cols>
  <sheetData>
    <row r="1">
      <c r="A1" s="1" t="inlineStr">
        <is>
          <t>MODELO DE PRICING - FLOWKER</t>
        </is>
      </c>
    </row>
    <row r="2">
      <c r="A2" s="21" t="inlineStr">
        <is>
          <t>Simulação com base nas premissas (ajuste na aba PREMISSAS)</t>
        </is>
      </c>
    </row>
    <row r="4">
      <c r="A4" s="3" t="inlineStr">
        <is>
          <t>SIMULAÇÃO POR TIER</t>
        </is>
      </c>
    </row>
    <row r="5">
      <c r="A5" s="5" t="inlineStr">
        <is>
          <t>Tier</t>
        </is>
      </c>
      <c r="B5" s="5" t="inlineStr">
        <is>
          <t>Base (BRL)</t>
        </is>
      </c>
      <c r="C5" s="5" t="inlineStr">
        <is>
          <t>Por WF</t>
        </is>
      </c>
      <c r="D5" s="5" t="inlineStr">
        <is>
          <t>Volume</t>
        </is>
      </c>
      <c r="E5" s="5" t="inlineStr">
        <is>
          <t>Receita</t>
        </is>
      </c>
      <c r="F5" s="5" t="inlineStr">
        <is>
          <t>Custo*</t>
        </is>
      </c>
      <c r="G5" s="5" t="inlineStr">
        <is>
          <t>Margem R$</t>
        </is>
      </c>
      <c r="H5" s="5" t="inlineStr">
        <is>
          <t>Margem %</t>
        </is>
      </c>
    </row>
    <row r="6">
      <c r="A6" t="inlineStr">
        <is>
          <t>Starter</t>
        </is>
      </c>
      <c r="B6" s="32">
        <f>PREMISSAS!B36</f>
        <v/>
      </c>
      <c r="C6" s="32">
        <f>PREMISSAS!C36</f>
        <v/>
      </c>
      <c r="D6" s="33">
        <f>PREMISSAS!D36</f>
        <v/>
      </c>
      <c r="E6" s="22">
        <f>B6+(D6*C6)</f>
        <v/>
      </c>
      <c r="F6" s="22">
        <f>CUSTOS!C11+(D6*CUSTOS!D19)</f>
        <v/>
      </c>
      <c r="G6" s="22">
        <f>E6-F6</f>
        <v/>
      </c>
      <c r="H6" s="31">
        <f>IF(E6&gt;0,G6/E6,0)</f>
        <v/>
      </c>
    </row>
    <row r="7">
      <c r="A7" t="inlineStr">
        <is>
          <t>Growth</t>
        </is>
      </c>
      <c r="B7" s="32">
        <f>PREMISSAS!B37</f>
        <v/>
      </c>
      <c r="C7" s="32">
        <f>PREMISSAS!C37</f>
        <v/>
      </c>
      <c r="D7" s="33">
        <f>PREMISSAS!D37</f>
        <v/>
      </c>
      <c r="E7" s="22">
        <f>B7+(D7*C7)</f>
        <v/>
      </c>
      <c r="F7" s="22">
        <f>CUSTOS!C11+(D7*CUSTOS!D19)</f>
        <v/>
      </c>
      <c r="G7" s="22">
        <f>E7-F7</f>
        <v/>
      </c>
      <c r="H7" s="31">
        <f>IF(E7&gt;0,G7/E7,0)</f>
        <v/>
      </c>
    </row>
    <row r="8">
      <c r="A8" t="inlineStr">
        <is>
          <t>Scale</t>
        </is>
      </c>
      <c r="B8" s="32">
        <f>PREMISSAS!B38</f>
        <v/>
      </c>
      <c r="C8" s="32">
        <f>PREMISSAS!C38</f>
        <v/>
      </c>
      <c r="D8" s="33">
        <f>PREMISSAS!D38</f>
        <v/>
      </c>
      <c r="E8" s="22">
        <f>B8+(D8*C8)</f>
        <v/>
      </c>
      <c r="F8" s="22">
        <f>CUSTOS!C11+(D8*CUSTOS!D19)</f>
        <v/>
      </c>
      <c r="G8" s="22">
        <f>E8-F8</f>
        <v/>
      </c>
      <c r="H8" s="31">
        <f>IF(E8&gt;0,G8/E8,0)</f>
        <v/>
      </c>
    </row>
    <row r="9">
      <c r="A9" t="inlineStr">
        <is>
          <t>Enterprise</t>
        </is>
      </c>
      <c r="B9" s="32">
        <f>PREMISSAS!B39</f>
        <v/>
      </c>
      <c r="C9" s="32">
        <f>PREMISSAS!C39</f>
        <v/>
      </c>
      <c r="D9" s="33">
        <f>PREMISSAS!D39</f>
        <v/>
      </c>
      <c r="E9" s="22">
        <f>B9+(D9*C9)</f>
        <v/>
      </c>
      <c r="F9" s="22">
        <f>CUSTOS!C11+(D9*CUSTOS!D19)</f>
        <v/>
      </c>
      <c r="G9" s="22">
        <f>E9-F9</f>
        <v/>
      </c>
      <c r="H9" s="31">
        <f>IF(E9&gt;0,G9/E9,0)</f>
        <v/>
      </c>
    </row>
    <row r="11">
      <c r="A11" s="27" t="inlineStr">
        <is>
          <t>*Custo assume infra STANDALONE (worst case)</t>
        </is>
      </c>
    </row>
    <row r="14">
      <c r="A14" s="3" t="inlineStr">
        <is>
          <t>SIMULADOR CUSTOMIZADO</t>
        </is>
      </c>
    </row>
    <row r="15">
      <c r="A15" s="8" t="inlineStr">
        <is>
          <t>Insira valores:</t>
        </is>
      </c>
    </row>
    <row r="16">
      <c r="A16" t="inlineStr">
        <is>
          <t>Preço Base (BRL):</t>
        </is>
      </c>
      <c r="B16" s="14" t="n">
        <v>2990</v>
      </c>
    </row>
    <row r="17">
      <c r="A17" t="inlineStr">
        <is>
          <t>Preço/WF (BRL):</t>
        </is>
      </c>
      <c r="B17" s="14" t="n">
        <v>0.08</v>
      </c>
    </row>
    <row r="18">
      <c r="A18" t="inlineStr">
        <is>
          <t>Volume (WF/mês):</t>
        </is>
      </c>
      <c r="B18" s="12" t="n">
        <v>25000</v>
      </c>
    </row>
    <row r="20">
      <c r="A20" s="8" t="inlineStr">
        <is>
          <t>Resultados:</t>
        </is>
      </c>
    </row>
    <row r="21">
      <c r="A21" t="inlineStr">
        <is>
          <t>Receita:</t>
        </is>
      </c>
      <c r="B21" s="22">
        <f>B16+(B18*B17)</f>
        <v/>
      </c>
    </row>
    <row r="22">
      <c r="A22" t="inlineStr">
        <is>
          <t>Custo (Standalone):</t>
        </is>
      </c>
      <c r="B22" s="22">
        <f>CUSTOS!C11+(B18*CUSTOS!D19)</f>
        <v/>
      </c>
    </row>
    <row r="23">
      <c r="A23" t="inlineStr">
        <is>
          <t>Margem (R$):</t>
        </is>
      </c>
      <c r="B23" s="22">
        <f>B21-B22</f>
        <v/>
      </c>
    </row>
    <row r="24">
      <c r="A24" t="inlineStr">
        <is>
          <t>Margem (%):</t>
        </is>
      </c>
      <c r="B24" s="31">
        <f>IF(B21&gt;0,B23/B21,0)</f>
        <v/>
      </c>
    </row>
    <row r="25">
      <c r="A25" t="inlineStr">
        <is>
          <t>Status:</t>
        </is>
      </c>
      <c r="B25" s="34">
        <f>IF(B23&gt;0,"✅ Sustentável","❌ Prejuízo")</f>
        <v/>
      </c>
    </row>
  </sheetData>
  <mergeCells count="3">
    <mergeCell ref="A4:H4"/>
    <mergeCell ref="A14:H1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1" t="inlineStr">
        <is>
          <t>GRAUS DE CONFIANÇA</t>
        </is>
      </c>
    </row>
    <row r="3">
      <c r="A3" s="35" t="inlineStr">
        <is>
          <t>Componente</t>
        </is>
      </c>
      <c r="B3" s="35" t="inlineStr">
        <is>
          <t>Confiança</t>
        </is>
      </c>
      <c r="C3" s="35" t="inlineStr">
        <is>
          <t>Justificativa</t>
        </is>
      </c>
    </row>
    <row r="4">
      <c r="A4" t="inlineStr">
        <is>
          <t>Metodologia (standalone-first)</t>
        </is>
      </c>
      <c r="B4" t="inlineStr">
        <is>
          <t>🟢 Alto</t>
        </is>
      </c>
      <c r="C4" t="inlineStr">
        <is>
          <t>Princípio de negócio, não técnico</t>
        </is>
      </c>
    </row>
    <row r="5">
      <c r="A5" t="inlineStr">
        <is>
          <t>Componentes de infraestrutura</t>
        </is>
      </c>
      <c r="B5" t="inlineStr">
        <is>
          <t>🟢 Alto</t>
        </is>
      </c>
      <c r="C5" t="inlineStr">
        <is>
          <t>Baseado em docker-compose real</t>
        </is>
      </c>
    </row>
    <row r="6">
      <c r="A6" t="inlineStr">
        <is>
          <t>Preços de cloud (unitários)</t>
        </is>
      </c>
      <c r="B6" t="inlineStr">
        <is>
          <t>🟢 Alto</t>
        </is>
      </c>
      <c r="C6" t="inlineStr">
        <is>
          <t>Pricing público verificável AWS/MongoDB</t>
        </is>
      </c>
    </row>
    <row r="7">
      <c r="A7" t="inlineStr">
        <is>
          <t>Sizing de produção</t>
        </is>
      </c>
      <c r="B7" t="inlineStr">
        <is>
          <t>🟠 Baixo-Médio</t>
        </is>
      </c>
      <c r="C7" t="inlineStr">
        <is>
          <t>Sem Terraform/load tests - estimar conservador</t>
        </is>
      </c>
    </row>
    <row r="8">
      <c r="A8" t="inlineStr">
        <is>
          <t>Operações por workflow</t>
        </is>
      </c>
      <c r="B8" t="inlineStr">
        <is>
          <t>🟠 Baixo-Médio</t>
        </is>
      </c>
      <c r="C8" t="inlineStr">
        <is>
          <t>Baseado em código, não em métricas reais</t>
        </is>
      </c>
    </row>
    <row r="9">
      <c r="A9" t="inlineStr">
        <is>
          <t>Custo variável por workflow</t>
        </is>
      </c>
      <c r="B9" t="inlineStr">
        <is>
          <t>🟠 Baixo-Médio</t>
        </is>
      </c>
      <c r="C9" t="inlineStr">
        <is>
          <t>Depende de validação com benchmark</t>
        </is>
      </c>
    </row>
    <row r="10">
      <c r="A10" t="inlineStr">
        <is>
          <t>Modelo de pricing (estrutura)</t>
        </is>
      </c>
      <c r="B10" t="inlineStr">
        <is>
          <t>🟢 Alto</t>
        </is>
      </c>
      <c r="C10" t="inlineStr">
        <is>
          <t>Padrão de mercado (base + variável)</t>
        </is>
      </c>
    </row>
    <row r="11">
      <c r="A11" t="inlineStr">
        <is>
          <t>Modelo de pricing (valores)</t>
        </is>
      </c>
      <c r="B11" t="inlineStr">
        <is>
          <t>🟡 Médio</t>
        </is>
      </c>
      <c r="C11" t="inlineStr">
        <is>
          <t>Depende de validação de custos</t>
        </is>
      </c>
    </row>
    <row r="14">
      <c r="A14" s="8" t="inlineStr">
        <is>
          <t>AÇÕES PARA AUMENTAR CONFIANÇA</t>
        </is>
      </c>
    </row>
    <row r="15">
      <c r="A15" t="inlineStr">
        <is>
          <t>1. Executar benchmark script com Docker rodando</t>
        </is>
      </c>
    </row>
    <row r="16">
      <c r="A16" t="inlineStr">
        <is>
          <t>2. Instalar KubeCost no cluster K8s</t>
        </is>
      </c>
    </row>
    <row r="17">
      <c r="A17" t="inlineStr">
        <is>
          <t>3. Load test com 25K-100K workflows</t>
        </is>
      </c>
    </row>
    <row r="18">
      <c r="A18" t="inlineStr">
        <is>
          <t>4. Criar Terraform do Flowker</t>
        </is>
      </c>
    </row>
    <row r="19">
      <c r="A19" t="inlineStr">
        <is>
          <t>5. Coletar 30+ dias de dados de billing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2026-01-16T14:38:08Z</dcterms:created>
  <dcterms:modified xsi:type="dcterms:W3CDTF">2026-01-16T14:38:08Z</dcterms:modified>
</cp:coreProperties>
</file>