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  <sheet name="CONFIAN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 #,##0"/>
    <numFmt numFmtId="166" formatCode="&quot;R$&quot; #,##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</font>
    <font>
      <b val="1"/>
      <sz val="12"/>
    </font>
    <font>
      <b val="1"/>
      <sz val="14"/>
    </font>
    <font>
      <i val="1"/>
      <color rgb="00CC0000"/>
    </font>
  </fonts>
  <fills count="8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4" fontId="0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6" fontId="6" fillId="7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  <xf numFmtId="3" fontId="0" fillId="7" borderId="1" applyAlignment="1" pivotButton="0" quotePrefix="0" xfId="0">
      <alignment horizontal="right" vertical="center"/>
    </xf>
    <xf numFmtId="0" fontId="4" fillId="6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30" customWidth="1" min="4" max="4"/>
    <col width="12" customWidth="1" min="5" max="5"/>
  </cols>
  <sheetData>
    <row r="1">
      <c r="A1" s="1" t="inlineStr">
        <is>
          <t>PRICING MATCHER - MODELO SIMPLIFICADO</t>
        </is>
      </c>
    </row>
    <row r="3">
      <c r="A3" s="2" t="inlineStr">
        <is>
          <t>1. PARÂMETROS GERAIS</t>
        </is>
      </c>
      <c r="B3" s="3" t="n"/>
      <c r="C3" s="3" t="n"/>
      <c r="D3" s="3" t="n"/>
      <c r="E3" s="4" t="n"/>
    </row>
    <row r="4">
      <c r="A4" s="5" t="inlineStr">
        <is>
          <t>Parâmetro</t>
        </is>
      </c>
      <c r="B4" s="5" t="inlineStr">
        <is>
          <t>Valor</t>
        </is>
      </c>
      <c r="C4" s="5" t="inlineStr">
        <is>
          <t>Unidade</t>
        </is>
      </c>
      <c r="D4" s="5" t="inlineStr">
        <is>
          <t>Descrição</t>
        </is>
      </c>
      <c r="E4" s="5" t="inlineStr">
        <is>
          <t>Confiança</t>
        </is>
      </c>
    </row>
    <row r="5">
      <c r="A5" s="6" t="inlineStr">
        <is>
          <t>Câmbio</t>
        </is>
      </c>
      <c r="B5" s="7" t="n">
        <v>5</v>
      </c>
      <c r="C5" s="6" t="inlineStr">
        <is>
          <t>BRL/USD</t>
        </is>
      </c>
      <c r="D5" s="6" t="inlineStr">
        <is>
          <t>Taxa de conversão</t>
        </is>
      </c>
      <c r="E5" s="6" t="inlineStr">
        <is>
          <t>100%</t>
        </is>
      </c>
    </row>
    <row r="6">
      <c r="A6" s="6" t="inlineStr">
        <is>
          <t>Ops Redis por transação</t>
        </is>
      </c>
      <c r="B6" s="8" t="n">
        <v>5</v>
      </c>
      <c r="C6" s="6" t="inlineStr">
        <is>
          <t>ops</t>
        </is>
      </c>
      <c r="D6" s="6" t="inlineStr">
        <is>
          <t>dedupe + locks (análise de código)</t>
        </is>
      </c>
      <c r="E6" s="6" t="inlineStr">
        <is>
          <t>75%</t>
        </is>
      </c>
    </row>
    <row r="7">
      <c r="A7" s="6" t="inlineStr">
        <is>
          <t>Ops PostgreSQL por transação</t>
        </is>
      </c>
      <c r="B7" s="8" t="n">
        <v>6</v>
      </c>
      <c r="C7" s="6" t="inlineStr">
        <is>
          <t>ops</t>
        </is>
      </c>
      <c r="D7" s="6" t="inlineStr">
        <is>
          <t>exists + insert + select + match</t>
        </is>
      </c>
      <c r="E7" s="6" t="inlineStr">
        <is>
          <t>70%</t>
        </is>
      </c>
    </row>
    <row r="8">
      <c r="A8" s="6" t="inlineStr">
        <is>
          <t>Fator de pico</t>
        </is>
      </c>
      <c r="B8" s="8" t="n">
        <v>3</v>
      </c>
      <c r="C8" s="6" t="inlineStr">
        <is>
          <t>x</t>
        </is>
      </c>
      <c r="D8" s="6" t="inlineStr">
        <is>
          <t>TPS pico = TPS médio × fator</t>
        </is>
      </c>
      <c r="E8" s="6" t="inlineStr">
        <is>
          <t>50%</t>
        </is>
      </c>
    </row>
    <row r="9">
      <c r="A9" s="6" t="inlineStr">
        <is>
          <t>Segundos no mês</t>
        </is>
      </c>
      <c r="B9" s="8" t="n">
        <v>2592000</v>
      </c>
      <c r="C9" s="6" t="inlineStr">
        <is>
          <t>seg</t>
        </is>
      </c>
      <c r="D9" s="6" t="inlineStr">
        <is>
          <t>30 dias × 24h × 3600s</t>
        </is>
      </c>
      <c r="E9" s="6" t="inlineStr">
        <is>
          <t>100%</t>
        </is>
      </c>
    </row>
    <row r="10">
      <c r="A10" s="6" t="inlineStr">
        <is>
          <t>Margem alvo</t>
        </is>
      </c>
      <c r="B10" s="9" t="n">
        <v>0.7</v>
      </c>
      <c r="C10" s="6" t="inlineStr">
        <is>
          <t>%</t>
        </is>
      </c>
      <c r="D10" s="6" t="inlineStr">
        <is>
          <t>Margem bruta mínima</t>
        </is>
      </c>
      <c r="E10" s="6" t="inlineStr">
        <is>
          <t>N/A</t>
        </is>
      </c>
    </row>
    <row r="11">
      <c r="A11" s="10" t="inlineStr">
        <is>
          <t>TOTAL Ops por transação</t>
        </is>
      </c>
      <c r="B11" s="11">
        <f>B6+B7</f>
        <v/>
      </c>
      <c r="C11" s="6" t="inlineStr">
        <is>
          <t>ops/txn</t>
        </is>
      </c>
      <c r="D11" s="6">
        <f> 1 TPS gera X QPS</f>
        <v/>
      </c>
      <c r="E11" s="6" t="inlineStr">
        <is>
          <t>70%</t>
        </is>
      </c>
    </row>
    <row r="13">
      <c r="A13" s="2" t="inlineStr">
        <is>
          <t>2. INFRAESTRUTURA E CUSTOS (configuração única)</t>
        </is>
      </c>
      <c r="B13" s="3" t="n"/>
      <c r="C13" s="3" t="n"/>
      <c r="D13" s="3" t="n"/>
      <c r="E13" s="4" t="n"/>
    </row>
    <row r="14">
      <c r="A14" s="5" t="inlineStr">
        <is>
          <t>Componente</t>
        </is>
      </c>
      <c r="B14" s="5" t="inlineStr">
        <is>
          <t>Sizing</t>
        </is>
      </c>
      <c r="C14" s="5" t="inlineStr">
        <is>
          <t>Custo USD</t>
        </is>
      </c>
      <c r="D14" s="5" t="inlineStr">
        <is>
          <t>Custo BRL</t>
        </is>
      </c>
      <c r="E14" s="5" t="inlineStr">
        <is>
          <t>Confiança</t>
        </is>
      </c>
    </row>
    <row r="15">
      <c r="A15" s="6" t="inlineStr">
        <is>
          <t>PostgreSQL</t>
        </is>
      </c>
      <c r="B15" s="6" t="inlineStr">
        <is>
          <t>db.t3.large (2 vCPU, 8GB)</t>
        </is>
      </c>
      <c r="C15" s="12" t="n">
        <v>160</v>
      </c>
      <c r="D15" s="13">
        <f>C15*$B$5</f>
        <v/>
      </c>
      <c r="E15" s="6" t="inlineStr">
        <is>
          <t>100%</t>
        </is>
      </c>
    </row>
    <row r="16">
      <c r="A16" s="6" t="inlineStr">
        <is>
          <t>Redis</t>
        </is>
      </c>
      <c r="B16" s="6" t="inlineStr">
        <is>
          <t>cache.t3.medium (2 vCPU, 3GB)</t>
        </is>
      </c>
      <c r="C16" s="12" t="n">
        <v>50</v>
      </c>
      <c r="D16" s="13">
        <f>C16*$B$5</f>
        <v/>
      </c>
      <c r="E16" s="6" t="inlineStr">
        <is>
          <t>100%</t>
        </is>
      </c>
    </row>
    <row r="17">
      <c r="A17" s="6" t="inlineStr">
        <is>
          <t>RabbitMQ</t>
        </is>
      </c>
      <c r="B17" s="6" t="inlineStr">
        <is>
          <t>mq.t3.micro (2 vCPU, 1GB)</t>
        </is>
      </c>
      <c r="C17" s="12" t="n">
        <v>59</v>
      </c>
      <c r="D17" s="13">
        <f>C17*$B$5</f>
        <v/>
      </c>
      <c r="E17" s="6" t="inlineStr">
        <is>
          <t>100%</t>
        </is>
      </c>
    </row>
    <row r="18">
      <c r="A18" s="6" t="inlineStr">
        <is>
          <t>Fargate (API + Workers)</t>
        </is>
      </c>
      <c r="B18" s="6" t="inlineStr">
        <is>
          <t>5x (1 vCPU, 2GB cada)</t>
        </is>
      </c>
      <c r="C18" s="12" t="n">
        <v>162</v>
      </c>
      <c r="D18" s="13">
        <f>C18*$B$5</f>
        <v/>
      </c>
      <c r="E18" s="6" t="inlineStr">
        <is>
          <t>100%</t>
        </is>
      </c>
    </row>
    <row r="19">
      <c r="A19" s="6" t="inlineStr">
        <is>
          <t>Outros (rede, logs, S3)</t>
        </is>
      </c>
      <c r="B19" s="6" t="inlineStr">
        <is>
          <t>Estimado</t>
        </is>
      </c>
      <c r="C19" s="12" t="n">
        <v>70</v>
      </c>
      <c r="D19" s="13">
        <f>C19*$B$5</f>
        <v/>
      </c>
      <c r="E19" s="6" t="inlineStr">
        <is>
          <t>60%</t>
        </is>
      </c>
    </row>
    <row r="20">
      <c r="A20" s="10" t="inlineStr">
        <is>
          <t>TOTAL CUSTO INFRA</t>
        </is>
      </c>
      <c r="B20" s="6" t="inlineStr"/>
      <c r="C20" s="14">
        <f>SUM(C15:C19)</f>
        <v/>
      </c>
      <c r="D20" s="15">
        <f>SUM(D15:D19)</f>
        <v/>
      </c>
      <c r="E20" s="6" t="inlineStr">
        <is>
          <t>95%</t>
        </is>
      </c>
    </row>
    <row r="22">
      <c r="A22" s="2" t="inlineStr">
        <is>
          <t>3. CAPACIDADE ESTIMADA (sem teste de carga!)</t>
        </is>
      </c>
      <c r="B22" s="3" t="n"/>
      <c r="C22" s="3" t="n"/>
      <c r="D22" s="3" t="n"/>
      <c r="E22" s="4" t="n"/>
    </row>
    <row r="23">
      <c r="A23" s="5" t="inlineStr">
        <is>
          <t>Métrica</t>
        </is>
      </c>
      <c r="B23" s="5" t="inlineStr">
        <is>
          <t>Valor</t>
        </is>
      </c>
      <c r="C23" s="5" t="inlineStr">
        <is>
          <t>Unidade</t>
        </is>
      </c>
      <c r="D23" s="5" t="inlineStr">
        <is>
          <t>Fórmula</t>
        </is>
      </c>
      <c r="E23" s="5" t="inlineStr">
        <is>
          <t>Confiança</t>
        </is>
      </c>
    </row>
    <row r="24">
      <c r="A24" s="6" t="inlineStr">
        <is>
          <t>QPS máximo estimado</t>
        </is>
      </c>
      <c r="B24" s="8" t="n">
        <v>100</v>
      </c>
      <c r="C24" s="6" t="inlineStr">
        <is>
          <t>QPS</t>
        </is>
      </c>
      <c r="D24" s="6" t="inlineStr">
        <is>
          <t>Estimativa para db.t3.large</t>
        </is>
      </c>
      <c r="E24" s="16" t="inlineStr">
        <is>
          <t>55%</t>
        </is>
      </c>
    </row>
    <row r="25">
      <c r="A25" s="6" t="inlineStr">
        <is>
          <t>TPS máximo</t>
        </is>
      </c>
      <c r="B25" s="17">
        <f>B24/B11</f>
        <v/>
      </c>
      <c r="C25" s="6" t="inlineStr">
        <is>
          <t>TPS</t>
        </is>
      </c>
      <c r="D25" s="6">
        <f> QPS ÷ Ops/txn</f>
        <v/>
      </c>
      <c r="E25" s="6" t="inlineStr">
        <is>
          <t>55%</t>
        </is>
      </c>
    </row>
    <row r="26">
      <c r="A26" s="6" t="inlineStr">
        <is>
          <t>Transações/mês máximo</t>
        </is>
      </c>
      <c r="B26" s="11">
        <f>(B25/B8)*B9</f>
        <v/>
      </c>
      <c r="C26" s="6" t="inlineStr">
        <is>
          <t>txns/mês</t>
        </is>
      </c>
      <c r="D26" s="6">
        <f> (TPS ÷ Fator_pico) × Seg_mês</f>
        <v/>
      </c>
      <c r="E26" s="16" t="inlineStr">
        <is>
          <t>50%</t>
        </is>
      </c>
    </row>
    <row r="28">
      <c r="A28" s="2" t="inlineStr">
        <is>
          <t>4. PRICING SUGERIDO</t>
        </is>
      </c>
      <c r="B28" s="3" t="n"/>
      <c r="C28" s="3" t="n"/>
      <c r="D28" s="3" t="n"/>
      <c r="E28" s="4" t="n"/>
    </row>
    <row r="29">
      <c r="A29" s="5" t="inlineStr">
        <is>
          <t>Item</t>
        </is>
      </c>
      <c r="B29" s="5" t="inlineStr">
        <is>
          <t>Valor</t>
        </is>
      </c>
      <c r="C29" s="5" t="inlineStr"/>
      <c r="D29" s="5" t="inlineStr">
        <is>
          <t>Fórmula</t>
        </is>
      </c>
      <c r="E29" s="5" t="inlineStr"/>
    </row>
    <row r="30">
      <c r="A30" s="6" t="inlineStr">
        <is>
          <t>Custo mensal</t>
        </is>
      </c>
      <c r="B30" s="13">
        <f>D20</f>
        <v/>
      </c>
      <c r="D30" s="6">
        <f> Total infra</f>
        <v/>
      </c>
    </row>
    <row r="31">
      <c r="A31" s="18" t="inlineStr">
        <is>
          <t>Preço sugerido</t>
        </is>
      </c>
      <c r="B31" s="19">
        <f>B30/(1-B10)</f>
        <v/>
      </c>
      <c r="D31" s="6">
        <f> Custo ÷ (1 - Margem)</f>
        <v/>
      </c>
    </row>
    <row r="32">
      <c r="A32" s="6" t="inlineStr">
        <is>
          <t>Margem resultante</t>
        </is>
      </c>
      <c r="B32" s="20">
        <f>(B31-B30)/B31</f>
        <v/>
      </c>
      <c r="D32" s="6">
        <f> (Preço - Custo) / Preço</f>
        <v/>
      </c>
    </row>
    <row r="33">
      <c r="A33" s="6" t="inlineStr">
        <is>
          <t>Volume incluso (até)</t>
        </is>
      </c>
      <c r="B33" s="11">
        <f>B26</f>
        <v/>
      </c>
      <c r="C33" s="6" t="inlineStr">
        <is>
          <t>txns/mês</t>
        </is>
      </c>
      <c r="D33" s="6">
        <f> Capacidade máxima</f>
        <v/>
      </c>
    </row>
    <row r="35">
      <c r="A35" s="2" t="inlineStr">
        <is>
          <t>5. RESUMO</t>
        </is>
      </c>
      <c r="B35" s="3" t="n"/>
      <c r="C35" s="3" t="n"/>
      <c r="D35" s="3" t="n"/>
      <c r="E35" s="4" t="n"/>
    </row>
    <row r="36">
      <c r="A36" s="21" t="inlineStr">
        <is>
          <t>PREÇO TETO:</t>
        </is>
      </c>
      <c r="B36" s="19">
        <f>B31</f>
        <v/>
      </c>
      <c r="C36" t="inlineStr">
        <is>
          <t>/mês</t>
        </is>
      </c>
    </row>
    <row r="37">
      <c r="A37" s="22" t="inlineStr">
        <is>
          <t>CAPACIDADE:</t>
        </is>
      </c>
      <c r="B37" s="23">
        <f>B26</f>
        <v/>
      </c>
      <c r="C37" t="inlineStr">
        <is>
          <t>txns/mês</t>
        </is>
      </c>
    </row>
    <row r="38">
      <c r="A38" s="22" t="inlineStr">
        <is>
          <t>CONFIANÇA:</t>
        </is>
      </c>
      <c r="B38" s="24" t="inlineStr">
        <is>
          <t>65%</t>
        </is>
      </c>
      <c r="C38" t="inlineStr">
        <is>
          <t>±35%</t>
        </is>
      </c>
    </row>
    <row r="40">
      <c r="A40" s="25" t="inlineStr">
        <is>
          <t>ATENÇÃO: Este é um PREÇO TETO baseado em infra dedicada (standalone).</t>
        </is>
      </c>
    </row>
    <row r="41">
      <c r="A41" s="25" t="inlineStr">
        <is>
          <t>Capacidade NÃO validada por teste de carga. Confiança: 65% ±35%.</t>
        </is>
      </c>
    </row>
  </sheetData>
  <mergeCells count="8">
    <mergeCell ref="A35:E35"/>
    <mergeCell ref="A28:E28"/>
    <mergeCell ref="A41:E41"/>
    <mergeCell ref="A1:E1"/>
    <mergeCell ref="A13:E13"/>
    <mergeCell ref="A22:E22"/>
    <mergeCell ref="A40:E4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26" t="inlineStr">
        <is>
          <t>NÍVEIS DE CONFIANÇA</t>
        </is>
      </c>
    </row>
    <row r="3">
      <c r="A3" s="5" t="inlineStr">
        <is>
          <t>Componente</t>
        </is>
      </c>
      <c r="B3" s="5" t="inlineStr">
        <is>
          <t>Confiança</t>
        </is>
      </c>
      <c r="C3" s="5" t="inlineStr">
        <is>
          <t>O que validaria</t>
        </is>
      </c>
    </row>
    <row r="4">
      <c r="A4" s="6" t="inlineStr">
        <is>
          <t>Preços AWS</t>
        </is>
      </c>
      <c r="B4" s="6" t="inlineStr">
        <is>
          <t>100%</t>
        </is>
      </c>
      <c r="C4" s="6" t="inlineStr">
        <is>
          <t>Nada - são públicos</t>
        </is>
      </c>
    </row>
    <row r="5">
      <c r="A5" s="6" t="inlineStr">
        <is>
          <t>Componentes de infra</t>
        </is>
      </c>
      <c r="B5" s="6" t="inlineStr">
        <is>
          <t>100%</t>
        </is>
      </c>
      <c r="C5" s="6" t="inlineStr">
        <is>
          <t>Nada - vem do docker-compose</t>
        </is>
      </c>
    </row>
    <row r="6">
      <c r="A6" s="6" t="inlineStr">
        <is>
          <t>Ops/transação (11)</t>
        </is>
      </c>
      <c r="B6" s="6" t="inlineStr">
        <is>
          <t>70%</t>
        </is>
      </c>
      <c r="C6" s="6" t="inlineStr">
        <is>
          <t>Profiling em produção</t>
        </is>
      </c>
    </row>
    <row r="7">
      <c r="A7" s="6" t="inlineStr">
        <is>
          <t>QPS capacidade (100)</t>
        </is>
      </c>
      <c r="B7" s="6" t="inlineStr">
        <is>
          <t>55%</t>
        </is>
      </c>
      <c r="C7" s="6" t="inlineStr">
        <is>
          <t>Teste de carga</t>
        </is>
      </c>
    </row>
    <row r="8">
      <c r="A8" s="6" t="inlineStr">
        <is>
          <t>Fator de pico (3x)</t>
        </is>
      </c>
      <c r="B8" s="6" t="inlineStr">
        <is>
          <t>50%</t>
        </is>
      </c>
      <c r="C8" s="6" t="inlineStr">
        <is>
          <t>Dados de produção</t>
        </is>
      </c>
    </row>
    <row r="9">
      <c r="A9" s="10" t="inlineStr">
        <is>
          <t>GERAL</t>
        </is>
      </c>
      <c r="B9" s="27" t="inlineStr">
        <is>
          <t>65% ±35%</t>
        </is>
      </c>
      <c r="C9" s="6" t="inlineStr">
        <is>
          <t>Teste de carga + KubeCost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2026-01-16T19:59:58Z</dcterms:created>
  <dcterms:modified xsi:type="dcterms:W3CDTF">2026-01-16T19:59:58Z</dcterms:modified>
</cp:coreProperties>
</file>